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Setup" sheetId="3" state="visible" r:id="rId3"/>
    <sheet name="Time Log" sheetId="4" state="visible" r:id="rId4"/>
  </sheets>
  <definedNames>
    <definedName name="_xlnm._FilterDatabase" localSheetId="3" hidden="1">'Time Log'!$A$4:$G$1004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595959"/>
      <sz val="9"/>
    </font>
    <font>
      <name val="Arial"/>
      <i val="1"/>
      <color rgb="009C0006"/>
      <sz val="9"/>
    </font>
    <font>
      <name val="Arial"/>
      <b val="1"/>
      <color rgb="00FFFFFF"/>
      <sz val="10"/>
    </font>
    <font>
      <name val="Arial"/>
      <color rgb="00808080"/>
      <sz val="9"/>
    </font>
    <font>
      <name val="Arial"/>
      <i val="1"/>
      <color rgb="00C00000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" fontId="6" fillId="2" borderId="1" applyAlignment="1" pivotButton="0" quotePrefix="0" xfId="0">
      <alignment horizontal="center" vertical="center"/>
    </xf>
    <xf numFmtId="0" fontId="13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2" fontId="7" fillId="0" borderId="1" pivotButton="0" quotePrefix="0" xfId="0"/>
    <xf numFmtId="0" fontId="10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4" borderId="1" pivotButton="0" quotePrefix="0" xfId="0"/>
    <xf numFmtId="2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pivotButton="0" quotePrefix="0" xfId="0"/>
    <xf numFmtId="2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10" fillId="3" borderId="1" pivotButton="0" quotePrefix="0" xfId="0"/>
    <xf numFmtId="0" fontId="6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1" pivotButton="0" quotePrefix="0" xfId="0"/>
    <xf numFmtId="2" fontId="6" fillId="2" borderId="1" pivotButton="0" quotePrefix="0" xfId="0"/>
    <xf numFmtId="0" fontId="6" fillId="4" borderId="1" pivotButton="0" quotePrefix="0" xfId="0"/>
    <xf numFmtId="0" fontId="4" fillId="0" borderId="1" pivotButton="0" quotePrefix="0" xfId="0"/>
    <xf numFmtId="2" fontId="4" fillId="5" borderId="1" pivotButton="0" quotePrefix="0" xfId="0"/>
    <xf numFmtId="0" fontId="8" fillId="0" borderId="0" applyAlignment="1" pivotButton="0" quotePrefix="0" xfId="0">
      <alignment vertical="top" wrapText="1"/>
    </xf>
    <xf numFmtId="0" fontId="10" fillId="3" borderId="1" applyAlignment="1" pivotButton="0" quotePrefix="0" xfId="0">
      <alignment horizontal="center" vertical="center" wrapText="1"/>
    </xf>
    <xf numFmtId="164" fontId="6" fillId="0" borderId="1" pivotButton="0" quotePrefix="0" xfId="0"/>
    <xf numFmtId="0" fontId="6" fillId="0" borderId="1" applyAlignment="1" pivotButton="0" quotePrefix="0" xfId="0">
      <alignment vertical="top" wrapText="1"/>
    </xf>
    <xf numFmtId="2" fontId="6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0" pivotButton="0" quotePrefix="0" xfId="0"/>
    <xf numFmtId="164" fontId="6" fillId="4" borderId="1" pivotButton="0" quotePrefix="0" xfId="0"/>
    <xf numFmtId="0" fontId="6" fillId="4" borderId="1" applyAlignment="1" pivotButton="0" quotePrefix="0" xfId="0">
      <alignment vertical="top" wrapText="1"/>
    </xf>
    <xf numFmtId="2" fontId="6" fillId="4" borderId="1" pivotButton="0" quotePrefix="0" xfId="0"/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006100"/>
        <sz val="10"/>
      </font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Real Estate Professional - Time Tracking Log</t>
        </is>
      </c>
    </row>
    <row r="3">
      <c r="B3" s="2" t="inlineStr">
        <is>
          <t>Contemporaneous record of hours for IRC Sec. 469(c)(7) substantiation</t>
        </is>
      </c>
    </row>
    <row r="5">
      <c r="B5" s="3" t="inlineStr">
        <is>
          <t>HOW TO USE THIS WORKBOOK</t>
        </is>
      </c>
    </row>
    <row r="6" ht="30" customHeight="1">
      <c r="B6" s="4" t="inlineStr">
        <is>
          <t>1. Set up first</t>
        </is>
      </c>
      <c r="C6" s="5" t="inlineStr">
        <is>
          <t>On the Setup tab, list your properties/entities and adjust the activity categories. Everything else reads from those two lists.</t>
        </is>
      </c>
    </row>
    <row r="7" ht="30" customHeight="1">
      <c r="B7" s="4" t="inlineStr">
        <is>
          <t>2. Log as you go</t>
        </is>
      </c>
      <c r="C7" s="5" t="inlineStr">
        <is>
          <t>Enter one row per work session on the Time Log tab. Do it the same day - the value of this record is that it is contemporaneous.</t>
        </is>
      </c>
    </row>
    <row r="8" ht="30" customHeight="1">
      <c r="B8" s="4" t="inlineStr">
        <is>
          <t>3. Describe the work</t>
        </is>
      </c>
      <c r="C8" s="5" t="inlineStr">
        <is>
          <t>The Description column is what makes an entry defensible. "Showed 412 Elm to the Hartley family, 2 hrs incl. drive" survives review; "real estate work" does not.</t>
        </is>
      </c>
    </row>
    <row r="9" ht="30" customHeight="1">
      <c r="B9" s="4" t="inlineStr">
        <is>
          <t>4. Log non-RE work</t>
        </is>
      </c>
      <c r="C9" s="5" t="inlineStr">
        <is>
          <t>On Setup, enter monthly hours worked in any non-real-estate job or business. The &gt;50% test needs this number.</t>
        </is>
      </c>
    </row>
    <row r="10" ht="30" customHeight="1">
      <c r="B10" s="4" t="inlineStr">
        <is>
          <t>5. Review the Dashboard</t>
        </is>
      </c>
      <c r="C10" s="5" t="inlineStr">
        <is>
          <t>It computes both statutory tests and per-property totals automatically. Send it to your CPA with the Time Log.</t>
        </is>
      </c>
    </row>
    <row r="12">
      <c r="B12" s="3" t="inlineStr">
        <is>
          <t>THE TWO TESTS - IRC Sec. 469(c)(7)(B)</t>
        </is>
      </c>
    </row>
    <row r="13" ht="30" customHeight="1">
      <c r="B13" s="4" t="inlineStr">
        <is>
          <t>The 750-hour test</t>
        </is>
      </c>
      <c r="C13" s="5" t="inlineStr">
        <is>
          <t>More than 750 hours of service during the tax year in real property trades or businesses in which you materially participate.</t>
        </is>
      </c>
    </row>
    <row r="14" ht="30" customHeight="1">
      <c r="B14" s="4" t="inlineStr">
        <is>
          <t>The &gt;50% test</t>
        </is>
      </c>
      <c r="C14" s="5" t="inlineStr">
        <is>
          <t>More than half of all personal services you performed in ALL trades or businesses during the year must be in real property trades or businesses.</t>
        </is>
      </c>
    </row>
    <row r="15" ht="30" customHeight="1">
      <c r="B15" s="4" t="inlineStr">
        <is>
          <t>Both must be met</t>
        </is>
      </c>
      <c r="C15" s="5" t="inlineStr">
        <is>
          <t>Failing either one means no real estate professional status for the year.</t>
        </is>
      </c>
    </row>
    <row r="16" ht="30" customHeight="1">
      <c r="B16" s="4" t="inlineStr">
        <is>
          <t>Filing jointly?</t>
        </is>
      </c>
      <c r="C16" s="5" t="inlineStr">
        <is>
          <t>One spouse must satisfy both tests alone. Hours cannot be combined for this purpose.</t>
        </is>
      </c>
    </row>
    <row r="17" ht="30" customHeight="1">
      <c r="B17" s="4" t="inlineStr">
        <is>
          <t>Then, separately</t>
        </is>
      </c>
      <c r="C17" s="5" t="inlineStr">
        <is>
          <t>Material participation is tested per rental activity - commonly 500 hours each - unless you make the Sec. 469(c)(7)(A) election to aggregate. The Dashboard tracks each property against 500 hours.</t>
        </is>
      </c>
    </row>
    <row r="19">
      <c r="B19" s="3" t="inlineStr">
        <is>
          <t>WHAT DOES NOT COUNT</t>
        </is>
      </c>
    </row>
    <row r="20" ht="32" customHeight="1">
      <c r="B20" s="4" t="inlineStr">
        <is>
          <t>Investor activities</t>
        </is>
      </c>
      <c r="C20" s="5" t="inlineStr">
        <is>
          <t>Reviewing financial statements, compiling analyses for your own use, and non-managerial monitoring do NOT count - Reg. Sec. 1.469-5T(f)(2)(ii) - unless you are involved in day-to-day management or operations.</t>
        </is>
      </c>
    </row>
    <row r="21" ht="32" customHeight="1">
      <c r="B21" s="4" t="inlineStr">
        <is>
          <t>Education</t>
        </is>
      </c>
      <c r="C21" s="5" t="inlineStr">
        <is>
          <t>Courses, seminars and licensing hours are generally not treated as participation.</t>
        </is>
      </c>
    </row>
    <row r="22" ht="32" customHeight="1">
      <c r="B22" s="4" t="inlineStr">
        <is>
          <t>Commuting</t>
        </is>
      </c>
      <c r="C22" s="5" t="inlineStr">
        <is>
          <t>Home-to-office travel is not participation. Travel between properties is contested; it is flagged as such in the category list so your CPA can decide.</t>
        </is>
      </c>
    </row>
    <row r="24">
      <c r="B24" s="3" t="inlineStr">
        <is>
          <t>CELL LEGEND</t>
        </is>
      </c>
    </row>
    <row r="25">
      <c r="B25" s="6" t="inlineStr">
        <is>
          <t>Blue text</t>
        </is>
      </c>
      <c r="C25" s="7" t="inlineStr">
        <is>
          <t>You type here. All inputs are blue.</t>
        </is>
      </c>
    </row>
    <row r="26">
      <c r="B26" s="8" t="inlineStr">
        <is>
          <t>Yellow fill</t>
        </is>
      </c>
      <c r="C26" s="7" t="inlineStr">
        <is>
          <t>Key input that drives the calculations - do not leave blank.</t>
        </is>
      </c>
    </row>
    <row r="27">
      <c r="B27" s="7" t="inlineStr">
        <is>
          <t>Black text</t>
        </is>
      </c>
      <c r="C27" s="7" t="inlineStr">
        <is>
          <t>Calculated. Do not overwrite.</t>
        </is>
      </c>
    </row>
    <row r="28">
      <c r="B28" s="9" t="inlineStr">
        <is>
          <t>Green text</t>
        </is>
      </c>
      <c r="C28" s="7" t="inlineStr">
        <is>
          <t>Pulled from another tab. Do not overwrite.</t>
        </is>
      </c>
    </row>
    <row r="31">
      <c r="B31" s="10" t="inlineStr">
        <is>
          <t>One workbook per tax year. Row 5 of the Time Log is a filled-in example - overwrite it with your first real entry.</t>
        </is>
      </c>
    </row>
    <row r="33" ht="30" customHeight="1">
      <c r="B33" s="11" t="inlineStr">
        <is>
          <t>This workbook is a record-keeping tool, not tax advice. Category classifications reflect the general rules cited above; your CPA should confirm how they apply to your facts before anything here is used on a return.</t>
        </is>
      </c>
    </row>
  </sheetData>
  <mergeCells count="2">
    <mergeCell ref="B31:C31"/>
    <mergeCell ref="B33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6" customWidth="1" min="4" max="4"/>
    <col width="4" customWidth="1" min="5" max="5"/>
  </cols>
  <sheetData>
    <row r="1">
      <c r="A1" s="1" t="inlineStr">
        <is>
          <t>Dashboard - Real Estate Professional Status</t>
        </is>
      </c>
    </row>
    <row r="2">
      <c r="A2" s="2" t="inlineStr">
        <is>
          <t>All figures calculated from the Time Log and Setup tabs.</t>
        </is>
      </c>
    </row>
    <row r="3">
      <c r="A3" s="4" t="inlineStr">
        <is>
          <t>Tax year</t>
        </is>
      </c>
      <c r="B3" s="12" t="n">
        <v>2025</v>
      </c>
    </row>
    <row r="5" ht="20" customHeight="1">
      <c r="A5" s="13" t="inlineStr">
        <is>
          <t xml:space="preserve">  SUMMARY OF HOURS</t>
        </is>
      </c>
      <c r="B5" s="14" t="n"/>
      <c r="C5" s="14" t="n"/>
      <c r="D5" s="14" t="n"/>
    </row>
    <row r="6">
      <c r="A6" s="15" t="inlineStr">
        <is>
          <t>Total hours logged</t>
        </is>
      </c>
      <c r="B6" s="16">
        <f>SUM('Time Log'!$E$5:$E$1004)</f>
        <v/>
      </c>
    </row>
    <row r="7">
      <c r="A7" s="15" t="inlineStr">
        <is>
          <t>Qualifying real property hours</t>
        </is>
      </c>
      <c r="B7" s="16">
        <f>SUMIF('Time Log'!$F$5:$F$1004,"Yes",'Time Log'!$E$5:$E$1004)</f>
        <v/>
      </c>
    </row>
    <row r="8">
      <c r="A8" s="15" t="inlineStr">
        <is>
          <t>Non-qualifying hours (investor, education, commuting)</t>
        </is>
      </c>
      <c r="B8" s="16">
        <f>SUMIF('Time Log'!$F$5:$F$1004,"No",'Time Log'!$E$5:$E$1004)</f>
        <v/>
      </c>
    </row>
    <row r="9">
      <c r="A9" s="15" t="inlineStr">
        <is>
          <t>Hours in non-real-estate work</t>
        </is>
      </c>
      <c r="B9" s="16">
        <f>SUM(Setup!$H$4:$H$15)</f>
        <v/>
      </c>
    </row>
    <row r="10">
      <c r="A10" s="15" t="inlineStr">
        <is>
          <t>Total personal service hours (all trades or businesses)</t>
        </is>
      </c>
      <c r="B10" s="16">
        <f>B7+B9</f>
        <v/>
      </c>
    </row>
    <row r="12" ht="20" customHeight="1">
      <c r="A12" s="13" t="inlineStr">
        <is>
          <t xml:space="preserve">  STATUTORY TESTS - IRC Sec. 469(c)(7)(B)</t>
        </is>
      </c>
      <c r="B12" s="14" t="n"/>
      <c r="C12" s="14" t="n"/>
      <c r="D12" s="14" t="n"/>
    </row>
    <row r="13">
      <c r="A13" s="17" t="inlineStr">
        <is>
          <t>Test</t>
        </is>
      </c>
      <c r="B13" s="17" t="inlineStr">
        <is>
          <t>Actual</t>
        </is>
      </c>
      <c r="C13" s="17" t="inlineStr">
        <is>
          <t>Threshold</t>
        </is>
      </c>
      <c r="D13" s="17" t="inlineStr">
        <is>
          <t>Result</t>
        </is>
      </c>
    </row>
    <row r="14" ht="18" customHeight="1">
      <c r="A14" s="18" t="inlineStr">
        <is>
          <t>More than 750 hours in real property trades or businesses</t>
        </is>
      </c>
      <c r="B14" s="19">
        <f>B7</f>
        <v/>
      </c>
      <c r="C14" s="20" t="n">
        <v>750</v>
      </c>
      <c r="D14" s="21">
        <f>IF(B14&gt;C14,"MET","NOT MET")</f>
        <v/>
      </c>
    </row>
    <row r="15" ht="18" customHeight="1">
      <c r="A15" s="18" t="inlineStr">
        <is>
          <t>More than 50% of all personal services in real property</t>
        </is>
      </c>
      <c r="B15" s="22">
        <f>IFERROR(B7/B10,0)</f>
        <v/>
      </c>
      <c r="C15" s="23" t="n">
        <v>0.5</v>
      </c>
      <c r="D15" s="21">
        <f>IF(B15&gt;C15,"MET","NOT MET")</f>
        <v/>
      </c>
    </row>
    <row r="16" ht="18" customHeight="1">
      <c r="A16" s="24" t="inlineStr">
        <is>
          <t>OVERALL - both tests must be met</t>
        </is>
      </c>
      <c r="B16" s="25" t="inlineStr"/>
      <c r="C16" s="25" t="inlineStr"/>
      <c r="D16" s="21">
        <f>IF(AND(D14="MET",D15="MET"),"QUALIFIES","DOES NOT QUALIFY")</f>
        <v/>
      </c>
    </row>
    <row r="18">
      <c r="A18" s="15" t="inlineStr">
        <is>
          <t>Hours still needed to clear 750</t>
        </is>
      </c>
      <c r="B18" s="20">
        <f>MAX(0,750-B7)</f>
        <v/>
      </c>
    </row>
    <row r="20" ht="20" customHeight="1">
      <c r="A20" s="13" t="inlineStr">
        <is>
          <t xml:space="preserve">  MATERIAL PARTICIPATION BY PROPERTY (500-hour test)</t>
        </is>
      </c>
      <c r="B20" s="14" t="n"/>
      <c r="C20" s="14" t="n"/>
      <c r="D20" s="14" t="n"/>
    </row>
    <row r="21">
      <c r="A21" s="17" t="inlineStr">
        <is>
          <t>Property / Entity</t>
        </is>
      </c>
      <c r="B21" s="17" t="inlineStr">
        <is>
          <t>Hours</t>
        </is>
      </c>
      <c r="C21" s="17" t="inlineStr">
        <is>
          <t>Qualifying</t>
        </is>
      </c>
      <c r="D21" s="17" t="inlineStr">
        <is>
          <t>500-hour test</t>
        </is>
      </c>
    </row>
    <row r="22">
      <c r="A22" s="26">
        <f>IF(Setup!$A4="","",Setup!$A4)</f>
        <v/>
      </c>
      <c r="B22" s="20">
        <f>IF($A22="","",SUMIFS('Time Log'!$E$5:$E$1004,'Time Log'!$B$5:$B$1004,$A22))</f>
        <v/>
      </c>
      <c r="C22" s="20">
        <f>IF($A22="","",SUMIFS('Time Log'!$E$5:$E$1004,'Time Log'!$B$5:$B$1004,$A22,'Time Log'!$F$5:$F$1004,"Yes"))</f>
        <v/>
      </c>
      <c r="D22" s="25">
        <f>IF($A22="","",IF(C22&gt;500,"Met","Below 500"))</f>
        <v/>
      </c>
    </row>
    <row r="23">
      <c r="A23" s="27">
        <f>IF(Setup!$A5="","",Setup!$A5)</f>
        <v/>
      </c>
      <c r="B23" s="28">
        <f>IF($A23="","",SUMIFS('Time Log'!$E$5:$E$1004,'Time Log'!$B$5:$B$1004,$A23))</f>
        <v/>
      </c>
      <c r="C23" s="28">
        <f>IF($A23="","",SUMIFS('Time Log'!$E$5:$E$1004,'Time Log'!$B$5:$B$1004,$A23,'Time Log'!$F$5:$F$1004,"Yes"))</f>
        <v/>
      </c>
      <c r="D23" s="29">
        <f>IF($A23="","",IF(C23&gt;500,"Met","Below 500"))</f>
        <v/>
      </c>
    </row>
    <row r="24">
      <c r="A24" s="26">
        <f>IF(Setup!$A6="","",Setup!$A6)</f>
        <v/>
      </c>
      <c r="B24" s="20">
        <f>IF($A24="","",SUMIFS('Time Log'!$E$5:$E$1004,'Time Log'!$B$5:$B$1004,$A24))</f>
        <v/>
      </c>
      <c r="C24" s="20">
        <f>IF($A24="","",SUMIFS('Time Log'!$E$5:$E$1004,'Time Log'!$B$5:$B$1004,$A24,'Time Log'!$F$5:$F$1004,"Yes"))</f>
        <v/>
      </c>
      <c r="D24" s="25">
        <f>IF($A24="","",IF(C24&gt;500,"Met","Below 500"))</f>
        <v/>
      </c>
    </row>
    <row r="25">
      <c r="A25" s="27">
        <f>IF(Setup!$A7="","",Setup!$A7)</f>
        <v/>
      </c>
      <c r="B25" s="28">
        <f>IF($A25="","",SUMIFS('Time Log'!$E$5:$E$1004,'Time Log'!$B$5:$B$1004,$A25))</f>
        <v/>
      </c>
      <c r="C25" s="28">
        <f>IF($A25="","",SUMIFS('Time Log'!$E$5:$E$1004,'Time Log'!$B$5:$B$1004,$A25,'Time Log'!$F$5:$F$1004,"Yes"))</f>
        <v/>
      </c>
      <c r="D25" s="29">
        <f>IF($A25="","",IF(C25&gt;500,"Met","Below 500"))</f>
        <v/>
      </c>
    </row>
    <row r="26">
      <c r="A26" s="26">
        <f>IF(Setup!$A8="","",Setup!$A8)</f>
        <v/>
      </c>
      <c r="B26" s="20">
        <f>IF($A26="","",SUMIFS('Time Log'!$E$5:$E$1004,'Time Log'!$B$5:$B$1004,$A26))</f>
        <v/>
      </c>
      <c r="C26" s="20">
        <f>IF($A26="","",SUMIFS('Time Log'!$E$5:$E$1004,'Time Log'!$B$5:$B$1004,$A26,'Time Log'!$F$5:$F$1004,"Yes"))</f>
        <v/>
      </c>
      <c r="D26" s="25">
        <f>IF($A26="","",IF(C26&gt;500,"Met","Below 500"))</f>
        <v/>
      </c>
    </row>
    <row r="27">
      <c r="A27" s="27">
        <f>IF(Setup!$A9="","",Setup!$A9)</f>
        <v/>
      </c>
      <c r="B27" s="28">
        <f>IF($A27="","",SUMIFS('Time Log'!$E$5:$E$1004,'Time Log'!$B$5:$B$1004,$A27))</f>
        <v/>
      </c>
      <c r="C27" s="28">
        <f>IF($A27="","",SUMIFS('Time Log'!$E$5:$E$1004,'Time Log'!$B$5:$B$1004,$A27,'Time Log'!$F$5:$F$1004,"Yes"))</f>
        <v/>
      </c>
      <c r="D27" s="29">
        <f>IF($A27="","",IF(C27&gt;500,"Met","Below 500"))</f>
        <v/>
      </c>
    </row>
    <row r="28">
      <c r="A28" s="26">
        <f>IF(Setup!$A10="","",Setup!$A10)</f>
        <v/>
      </c>
      <c r="B28" s="20">
        <f>IF($A28="","",SUMIFS('Time Log'!$E$5:$E$1004,'Time Log'!$B$5:$B$1004,$A28))</f>
        <v/>
      </c>
      <c r="C28" s="20">
        <f>IF($A28="","",SUMIFS('Time Log'!$E$5:$E$1004,'Time Log'!$B$5:$B$1004,$A28,'Time Log'!$F$5:$F$1004,"Yes"))</f>
        <v/>
      </c>
      <c r="D28" s="25">
        <f>IF($A28="","",IF(C28&gt;500,"Met","Below 500"))</f>
        <v/>
      </c>
    </row>
    <row r="29">
      <c r="A29" s="27">
        <f>IF(Setup!$A11="","",Setup!$A11)</f>
        <v/>
      </c>
      <c r="B29" s="28">
        <f>IF($A29="","",SUMIFS('Time Log'!$E$5:$E$1004,'Time Log'!$B$5:$B$1004,$A29))</f>
        <v/>
      </c>
      <c r="C29" s="28">
        <f>IF($A29="","",SUMIFS('Time Log'!$E$5:$E$1004,'Time Log'!$B$5:$B$1004,$A29,'Time Log'!$F$5:$F$1004,"Yes"))</f>
        <v/>
      </c>
      <c r="D29" s="29">
        <f>IF($A29="","",IF(C29&gt;500,"Met","Below 500"))</f>
        <v/>
      </c>
    </row>
    <row r="30">
      <c r="A30" s="26">
        <f>IF(Setup!$A12="","",Setup!$A12)</f>
        <v/>
      </c>
      <c r="B30" s="20">
        <f>IF($A30="","",SUMIFS('Time Log'!$E$5:$E$1004,'Time Log'!$B$5:$B$1004,$A30))</f>
        <v/>
      </c>
      <c r="C30" s="20">
        <f>IF($A30="","",SUMIFS('Time Log'!$E$5:$E$1004,'Time Log'!$B$5:$B$1004,$A30,'Time Log'!$F$5:$F$1004,"Yes"))</f>
        <v/>
      </c>
      <c r="D30" s="25">
        <f>IF($A30="","",IF(C30&gt;500,"Met","Below 500"))</f>
        <v/>
      </c>
    </row>
    <row r="31">
      <c r="A31" s="27">
        <f>IF(Setup!$A13="","",Setup!$A13)</f>
        <v/>
      </c>
      <c r="B31" s="28">
        <f>IF($A31="","",SUMIFS('Time Log'!$E$5:$E$1004,'Time Log'!$B$5:$B$1004,$A31))</f>
        <v/>
      </c>
      <c r="C31" s="28">
        <f>IF($A31="","",SUMIFS('Time Log'!$E$5:$E$1004,'Time Log'!$B$5:$B$1004,$A31,'Time Log'!$F$5:$F$1004,"Yes"))</f>
        <v/>
      </c>
      <c r="D31" s="29">
        <f>IF($A31="","",IF(C31&gt;500,"Met","Below 500"))</f>
        <v/>
      </c>
    </row>
    <row r="32">
      <c r="A32" s="26">
        <f>IF(Setup!$A14="","",Setup!$A14)</f>
        <v/>
      </c>
      <c r="B32" s="20">
        <f>IF($A32="","",SUMIFS('Time Log'!$E$5:$E$1004,'Time Log'!$B$5:$B$1004,$A32))</f>
        <v/>
      </c>
      <c r="C32" s="20">
        <f>IF($A32="","",SUMIFS('Time Log'!$E$5:$E$1004,'Time Log'!$B$5:$B$1004,$A32,'Time Log'!$F$5:$F$1004,"Yes"))</f>
        <v/>
      </c>
      <c r="D32" s="25">
        <f>IF($A32="","",IF(C32&gt;500,"Met","Below 500"))</f>
        <v/>
      </c>
    </row>
    <row r="33">
      <c r="A33" s="27">
        <f>IF(Setup!$A15="","",Setup!$A15)</f>
        <v/>
      </c>
      <c r="B33" s="28">
        <f>IF($A33="","",SUMIFS('Time Log'!$E$5:$E$1004,'Time Log'!$B$5:$B$1004,$A33))</f>
        <v/>
      </c>
      <c r="C33" s="28">
        <f>IF($A33="","",SUMIFS('Time Log'!$E$5:$E$1004,'Time Log'!$B$5:$B$1004,$A33,'Time Log'!$F$5:$F$1004,"Yes"))</f>
        <v/>
      </c>
      <c r="D33" s="29">
        <f>IF($A33="","",IF(C33&gt;500,"Met","Below 500"))</f>
        <v/>
      </c>
    </row>
    <row r="34">
      <c r="A34" s="26">
        <f>IF(Setup!$A16="","",Setup!$A16)</f>
        <v/>
      </c>
      <c r="B34" s="20">
        <f>IF($A34="","",SUMIFS('Time Log'!$E$5:$E$1004,'Time Log'!$B$5:$B$1004,$A34))</f>
        <v/>
      </c>
      <c r="C34" s="20">
        <f>IF($A34="","",SUMIFS('Time Log'!$E$5:$E$1004,'Time Log'!$B$5:$B$1004,$A34,'Time Log'!$F$5:$F$1004,"Yes"))</f>
        <v/>
      </c>
      <c r="D34" s="25">
        <f>IF($A34="","",IF(C34&gt;500,"Met","Below 500"))</f>
        <v/>
      </c>
    </row>
    <row r="35">
      <c r="A35" s="27">
        <f>IF(Setup!$A17="","",Setup!$A17)</f>
        <v/>
      </c>
      <c r="B35" s="28">
        <f>IF($A35="","",SUMIFS('Time Log'!$E$5:$E$1004,'Time Log'!$B$5:$B$1004,$A35))</f>
        <v/>
      </c>
      <c r="C35" s="28">
        <f>IF($A35="","",SUMIFS('Time Log'!$E$5:$E$1004,'Time Log'!$B$5:$B$1004,$A35,'Time Log'!$F$5:$F$1004,"Yes"))</f>
        <v/>
      </c>
      <c r="D35" s="29">
        <f>IF($A35="","",IF(C35&gt;500,"Met","Below 500"))</f>
        <v/>
      </c>
    </row>
    <row r="36">
      <c r="A36" s="26">
        <f>IF(Setup!$A18="","",Setup!$A18)</f>
        <v/>
      </c>
      <c r="B36" s="20">
        <f>IF($A36="","",SUMIFS('Time Log'!$E$5:$E$1004,'Time Log'!$B$5:$B$1004,$A36))</f>
        <v/>
      </c>
      <c r="C36" s="20">
        <f>IF($A36="","",SUMIFS('Time Log'!$E$5:$E$1004,'Time Log'!$B$5:$B$1004,$A36,'Time Log'!$F$5:$F$1004,"Yes"))</f>
        <v/>
      </c>
      <c r="D36" s="25">
        <f>IF($A36="","",IF(C36&gt;500,"Met","Below 500"))</f>
        <v/>
      </c>
    </row>
    <row r="37">
      <c r="A37" s="27">
        <f>IF(Setup!$A19="","",Setup!$A19)</f>
        <v/>
      </c>
      <c r="B37" s="28">
        <f>IF($A37="","",SUMIFS('Time Log'!$E$5:$E$1004,'Time Log'!$B$5:$B$1004,$A37))</f>
        <v/>
      </c>
      <c r="C37" s="28">
        <f>IF($A37="","",SUMIFS('Time Log'!$E$5:$E$1004,'Time Log'!$B$5:$B$1004,$A37,'Time Log'!$F$5:$F$1004,"Yes"))</f>
        <v/>
      </c>
      <c r="D37" s="29">
        <f>IF($A37="","",IF(C37&gt;500,"Met","Below 500"))</f>
        <v/>
      </c>
    </row>
    <row r="38">
      <c r="A38" s="26">
        <f>IF(Setup!$A20="","",Setup!$A20)</f>
        <v/>
      </c>
      <c r="B38" s="20">
        <f>IF($A38="","",SUMIFS('Time Log'!$E$5:$E$1004,'Time Log'!$B$5:$B$1004,$A38))</f>
        <v/>
      </c>
      <c r="C38" s="20">
        <f>IF($A38="","",SUMIFS('Time Log'!$E$5:$E$1004,'Time Log'!$B$5:$B$1004,$A38,'Time Log'!$F$5:$F$1004,"Yes"))</f>
        <v/>
      </c>
      <c r="D38" s="25">
        <f>IF($A38="","",IF(C38&gt;500,"Met","Below 500"))</f>
        <v/>
      </c>
    </row>
    <row r="39">
      <c r="A39" s="27">
        <f>IF(Setup!$A21="","",Setup!$A21)</f>
        <v/>
      </c>
      <c r="B39" s="28">
        <f>IF($A39="","",SUMIFS('Time Log'!$E$5:$E$1004,'Time Log'!$B$5:$B$1004,$A39))</f>
        <v/>
      </c>
      <c r="C39" s="28">
        <f>IF($A39="","",SUMIFS('Time Log'!$E$5:$E$1004,'Time Log'!$B$5:$B$1004,$A39,'Time Log'!$F$5:$F$1004,"Yes"))</f>
        <v/>
      </c>
      <c r="D39" s="29">
        <f>IF($A39="","",IF(C39&gt;500,"Met","Below 500"))</f>
        <v/>
      </c>
    </row>
    <row r="40">
      <c r="A40" s="26">
        <f>IF(Setup!$A22="","",Setup!$A22)</f>
        <v/>
      </c>
      <c r="B40" s="20">
        <f>IF($A40="","",SUMIFS('Time Log'!$E$5:$E$1004,'Time Log'!$B$5:$B$1004,$A40))</f>
        <v/>
      </c>
      <c r="C40" s="20">
        <f>IF($A40="","",SUMIFS('Time Log'!$E$5:$E$1004,'Time Log'!$B$5:$B$1004,$A40,'Time Log'!$F$5:$F$1004,"Yes"))</f>
        <v/>
      </c>
      <c r="D40" s="25">
        <f>IF($A40="","",IF(C40&gt;500,"Met","Below 500"))</f>
        <v/>
      </c>
    </row>
    <row r="41">
      <c r="A41" s="27">
        <f>IF(Setup!$A23="","",Setup!$A23)</f>
        <v/>
      </c>
      <c r="B41" s="28">
        <f>IF($A41="","",SUMIFS('Time Log'!$E$5:$E$1004,'Time Log'!$B$5:$B$1004,$A41))</f>
        <v/>
      </c>
      <c r="C41" s="28">
        <f>IF($A41="","",SUMIFS('Time Log'!$E$5:$E$1004,'Time Log'!$B$5:$B$1004,$A41,'Time Log'!$F$5:$F$1004,"Yes"))</f>
        <v/>
      </c>
      <c r="D41" s="29">
        <f>IF($A41="","",IF(C41&gt;500,"Met","Below 500"))</f>
        <v/>
      </c>
    </row>
    <row r="42">
      <c r="A42" s="26">
        <f>IF(Setup!$A24="","",Setup!$A24)</f>
        <v/>
      </c>
      <c r="B42" s="20">
        <f>IF($A42="","",SUMIFS('Time Log'!$E$5:$E$1004,'Time Log'!$B$5:$B$1004,$A42))</f>
        <v/>
      </c>
      <c r="C42" s="20">
        <f>IF($A42="","",SUMIFS('Time Log'!$E$5:$E$1004,'Time Log'!$B$5:$B$1004,$A42,'Time Log'!$F$5:$F$1004,"Yes"))</f>
        <v/>
      </c>
      <c r="D42" s="25">
        <f>IF($A42="","",IF(C42&gt;500,"Met","Below 500"))</f>
        <v/>
      </c>
    </row>
    <row r="43">
      <c r="A43" s="27">
        <f>IF(Setup!$A25="","",Setup!$A25)</f>
        <v/>
      </c>
      <c r="B43" s="28">
        <f>IF($A43="","",SUMIFS('Time Log'!$E$5:$E$1004,'Time Log'!$B$5:$B$1004,$A43))</f>
        <v/>
      </c>
      <c r="C43" s="28">
        <f>IF($A43="","",SUMIFS('Time Log'!$E$5:$E$1004,'Time Log'!$B$5:$B$1004,$A43,'Time Log'!$F$5:$F$1004,"Yes"))</f>
        <v/>
      </c>
      <c r="D43" s="29">
        <f>IF($A43="","",IF(C43&gt;500,"Met","Below 500"))</f>
        <v/>
      </c>
    </row>
    <row r="44">
      <c r="A44" s="26">
        <f>IF(Setup!$A26="","",Setup!$A26)</f>
        <v/>
      </c>
      <c r="B44" s="20">
        <f>IF($A44="","",SUMIFS('Time Log'!$E$5:$E$1004,'Time Log'!$B$5:$B$1004,$A44))</f>
        <v/>
      </c>
      <c r="C44" s="20">
        <f>IF($A44="","",SUMIFS('Time Log'!$E$5:$E$1004,'Time Log'!$B$5:$B$1004,$A44,'Time Log'!$F$5:$F$1004,"Yes"))</f>
        <v/>
      </c>
      <c r="D44" s="25">
        <f>IF($A44="","",IF(C44&gt;500,"Met","Below 500"))</f>
        <v/>
      </c>
    </row>
    <row r="45">
      <c r="A45" s="27">
        <f>IF(Setup!$A27="","",Setup!$A27)</f>
        <v/>
      </c>
      <c r="B45" s="28">
        <f>IF($A45="","",SUMIFS('Time Log'!$E$5:$E$1004,'Time Log'!$B$5:$B$1004,$A45))</f>
        <v/>
      </c>
      <c r="C45" s="28">
        <f>IF($A45="","",SUMIFS('Time Log'!$E$5:$E$1004,'Time Log'!$B$5:$B$1004,$A45,'Time Log'!$F$5:$F$1004,"Yes"))</f>
        <v/>
      </c>
      <c r="D45" s="29">
        <f>IF($A45="","",IF(C45&gt;500,"Met","Below 500"))</f>
        <v/>
      </c>
    </row>
    <row r="46">
      <c r="A46" s="26">
        <f>IF(Setup!$A28="","",Setup!$A28)</f>
        <v/>
      </c>
      <c r="B46" s="20">
        <f>IF($A46="","",SUMIFS('Time Log'!$E$5:$E$1004,'Time Log'!$B$5:$B$1004,$A46))</f>
        <v/>
      </c>
      <c r="C46" s="20">
        <f>IF($A46="","",SUMIFS('Time Log'!$E$5:$E$1004,'Time Log'!$B$5:$B$1004,$A46,'Time Log'!$F$5:$F$1004,"Yes"))</f>
        <v/>
      </c>
      <c r="D46" s="25">
        <f>IF($A46="","",IF(C46&gt;500,"Met","Below 500"))</f>
        <v/>
      </c>
    </row>
    <row r="47">
      <c r="A47" s="27">
        <f>IF(Setup!$A29="","",Setup!$A29)</f>
        <v/>
      </c>
      <c r="B47" s="28">
        <f>IF($A47="","",SUMIFS('Time Log'!$E$5:$E$1004,'Time Log'!$B$5:$B$1004,$A47))</f>
        <v/>
      </c>
      <c r="C47" s="28">
        <f>IF($A47="","",SUMIFS('Time Log'!$E$5:$E$1004,'Time Log'!$B$5:$B$1004,$A47,'Time Log'!$F$5:$F$1004,"Yes"))</f>
        <v/>
      </c>
      <c r="D47" s="29">
        <f>IF($A47="","",IF(C47&gt;500,"Met","Below 500"))</f>
        <v/>
      </c>
    </row>
    <row r="48">
      <c r="A48" s="26">
        <f>IF(Setup!$A30="","",Setup!$A30)</f>
        <v/>
      </c>
      <c r="B48" s="20">
        <f>IF($A48="","",SUMIFS('Time Log'!$E$5:$E$1004,'Time Log'!$B$5:$B$1004,$A48))</f>
        <v/>
      </c>
      <c r="C48" s="20">
        <f>IF($A48="","",SUMIFS('Time Log'!$E$5:$E$1004,'Time Log'!$B$5:$B$1004,$A48,'Time Log'!$F$5:$F$1004,"Yes"))</f>
        <v/>
      </c>
      <c r="D48" s="25">
        <f>IF($A48="","",IF(C48&gt;500,"Met","Below 500"))</f>
        <v/>
      </c>
    </row>
    <row r="49">
      <c r="A49" s="27">
        <f>IF(Setup!$A31="","",Setup!$A31)</f>
        <v/>
      </c>
      <c r="B49" s="28">
        <f>IF($A49="","",SUMIFS('Time Log'!$E$5:$E$1004,'Time Log'!$B$5:$B$1004,$A49))</f>
        <v/>
      </c>
      <c r="C49" s="28">
        <f>IF($A49="","",SUMIFS('Time Log'!$E$5:$E$1004,'Time Log'!$B$5:$B$1004,$A49,'Time Log'!$F$5:$F$1004,"Yes"))</f>
        <v/>
      </c>
      <c r="D49" s="29">
        <f>IF($A49="","",IF(C49&gt;500,"Met","Below 500"))</f>
        <v/>
      </c>
    </row>
    <row r="50">
      <c r="A50" s="26">
        <f>IF(Setup!$A32="","",Setup!$A32)</f>
        <v/>
      </c>
      <c r="B50" s="20">
        <f>IF($A50="","",SUMIFS('Time Log'!$E$5:$E$1004,'Time Log'!$B$5:$B$1004,$A50))</f>
        <v/>
      </c>
      <c r="C50" s="20">
        <f>IF($A50="","",SUMIFS('Time Log'!$E$5:$E$1004,'Time Log'!$B$5:$B$1004,$A50,'Time Log'!$F$5:$F$1004,"Yes"))</f>
        <v/>
      </c>
      <c r="D50" s="25">
        <f>IF($A50="","",IF(C50&gt;500,"Met","Below 500"))</f>
        <v/>
      </c>
    </row>
    <row r="51">
      <c r="A51" s="27">
        <f>IF(Setup!$A33="","",Setup!$A33)</f>
        <v/>
      </c>
      <c r="B51" s="28">
        <f>IF($A51="","",SUMIFS('Time Log'!$E$5:$E$1004,'Time Log'!$B$5:$B$1004,$A51))</f>
        <v/>
      </c>
      <c r="C51" s="28">
        <f>IF($A51="","",SUMIFS('Time Log'!$E$5:$E$1004,'Time Log'!$B$5:$B$1004,$A51,'Time Log'!$F$5:$F$1004,"Yes"))</f>
        <v/>
      </c>
      <c r="D51" s="29">
        <f>IF($A51="","",IF(C51&gt;500,"Met","Below 500"))</f>
        <v/>
      </c>
    </row>
    <row r="52">
      <c r="A52" s="30" t="inlineStr">
        <is>
          <t>Total</t>
        </is>
      </c>
      <c r="B52" s="31">
        <f>SUM(B22:B51)</f>
        <v/>
      </c>
      <c r="C52" s="31">
        <f>SUM(C22:C51)</f>
        <v/>
      </c>
      <c r="D52" s="32" t="n"/>
    </row>
    <row r="53">
      <c r="A53" s="10" t="inlineStr">
        <is>
          <t>Per-activity 500-hour test applies unless the Sec. 469(c)(7)(A) aggregation election is made. Ask your CPA which applies.</t>
        </is>
      </c>
    </row>
    <row r="55" ht="20" customHeight="1">
      <c r="A55" s="13" t="inlineStr">
        <is>
          <t xml:space="preserve">  HOURS BY ACTIVITY CATEGORY</t>
        </is>
      </c>
      <c r="B55" s="14" t="n"/>
      <c r="C55" s="14" t="n"/>
      <c r="D55" s="14" t="n"/>
    </row>
    <row r="56">
      <c r="A56" s="17" t="inlineStr">
        <is>
          <t>Activity Category</t>
        </is>
      </c>
      <c r="B56" s="17" t="inlineStr">
        <is>
          <t>Hours</t>
        </is>
      </c>
      <c r="C56" s="17" t="inlineStr">
        <is>
          <t>Counts?</t>
        </is>
      </c>
      <c r="D56" s="17" t="inlineStr">
        <is>
          <t>% of qualifying</t>
        </is>
      </c>
    </row>
    <row r="57">
      <c r="A57" s="26">
        <f>IF(Setup!$C4="","",Setup!$C4)</f>
        <v/>
      </c>
      <c r="B57" s="20">
        <f>IF($A57="","",SUMIFS('Time Log'!$E$5:$E$1004,'Time Log'!$C$5:$C$1004,$A57))</f>
        <v/>
      </c>
      <c r="C57" s="33">
        <f>IF(Setup!$C4="","",Setup!$D4)</f>
        <v/>
      </c>
      <c r="D57" s="23">
        <f>IF($A57="","",IF($C57&lt;&gt;"Yes","",IFERROR(B57/B7,0)))</f>
        <v/>
      </c>
    </row>
    <row r="58">
      <c r="A58" s="27">
        <f>IF(Setup!$C5="","",Setup!$C5)</f>
        <v/>
      </c>
      <c r="B58" s="28">
        <f>IF($A58="","",SUMIFS('Time Log'!$E$5:$E$1004,'Time Log'!$C$5:$C$1004,$A58))</f>
        <v/>
      </c>
      <c r="C58" s="34">
        <f>IF(Setup!$C5="","",Setup!$D5)</f>
        <v/>
      </c>
      <c r="D58" s="35">
        <f>IF($A58="","",IF($C58&lt;&gt;"Yes","",IFERROR(B58/B7,0)))</f>
        <v/>
      </c>
    </row>
    <row r="59">
      <c r="A59" s="26">
        <f>IF(Setup!$C6="","",Setup!$C6)</f>
        <v/>
      </c>
      <c r="B59" s="20">
        <f>IF($A59="","",SUMIFS('Time Log'!$E$5:$E$1004,'Time Log'!$C$5:$C$1004,$A59))</f>
        <v/>
      </c>
      <c r="C59" s="33">
        <f>IF(Setup!$C6="","",Setup!$D6)</f>
        <v/>
      </c>
      <c r="D59" s="23">
        <f>IF($A59="","",IF($C59&lt;&gt;"Yes","",IFERROR(B59/B7,0)))</f>
        <v/>
      </c>
    </row>
    <row r="60">
      <c r="A60" s="27">
        <f>IF(Setup!$C7="","",Setup!$C7)</f>
        <v/>
      </c>
      <c r="B60" s="28">
        <f>IF($A60="","",SUMIFS('Time Log'!$E$5:$E$1004,'Time Log'!$C$5:$C$1004,$A60))</f>
        <v/>
      </c>
      <c r="C60" s="34">
        <f>IF(Setup!$C7="","",Setup!$D7)</f>
        <v/>
      </c>
      <c r="D60" s="35">
        <f>IF($A60="","",IF($C60&lt;&gt;"Yes","",IFERROR(B60/B7,0)))</f>
        <v/>
      </c>
    </row>
    <row r="61">
      <c r="A61" s="26">
        <f>IF(Setup!$C8="","",Setup!$C8)</f>
        <v/>
      </c>
      <c r="B61" s="20">
        <f>IF($A61="","",SUMIFS('Time Log'!$E$5:$E$1004,'Time Log'!$C$5:$C$1004,$A61))</f>
        <v/>
      </c>
      <c r="C61" s="33">
        <f>IF(Setup!$C8="","",Setup!$D8)</f>
        <v/>
      </c>
      <c r="D61" s="23">
        <f>IF($A61="","",IF($C61&lt;&gt;"Yes","",IFERROR(B61/B7,0)))</f>
        <v/>
      </c>
    </row>
    <row r="62">
      <c r="A62" s="27">
        <f>IF(Setup!$C9="","",Setup!$C9)</f>
        <v/>
      </c>
      <c r="B62" s="28">
        <f>IF($A62="","",SUMIFS('Time Log'!$E$5:$E$1004,'Time Log'!$C$5:$C$1004,$A62))</f>
        <v/>
      </c>
      <c r="C62" s="34">
        <f>IF(Setup!$C9="","",Setup!$D9)</f>
        <v/>
      </c>
      <c r="D62" s="35">
        <f>IF($A62="","",IF($C62&lt;&gt;"Yes","",IFERROR(B62/B7,0)))</f>
        <v/>
      </c>
    </row>
    <row r="63">
      <c r="A63" s="26">
        <f>IF(Setup!$C10="","",Setup!$C10)</f>
        <v/>
      </c>
      <c r="B63" s="20">
        <f>IF($A63="","",SUMIFS('Time Log'!$E$5:$E$1004,'Time Log'!$C$5:$C$1004,$A63))</f>
        <v/>
      </c>
      <c r="C63" s="33">
        <f>IF(Setup!$C10="","",Setup!$D10)</f>
        <v/>
      </c>
      <c r="D63" s="23">
        <f>IF($A63="","",IF($C63&lt;&gt;"Yes","",IFERROR(B63/B7,0)))</f>
        <v/>
      </c>
    </row>
    <row r="64">
      <c r="A64" s="27">
        <f>IF(Setup!$C11="","",Setup!$C11)</f>
        <v/>
      </c>
      <c r="B64" s="28">
        <f>IF($A64="","",SUMIFS('Time Log'!$E$5:$E$1004,'Time Log'!$C$5:$C$1004,$A64))</f>
        <v/>
      </c>
      <c r="C64" s="34">
        <f>IF(Setup!$C11="","",Setup!$D11)</f>
        <v/>
      </c>
      <c r="D64" s="35">
        <f>IF($A64="","",IF($C64&lt;&gt;"Yes","",IFERROR(B64/B7,0)))</f>
        <v/>
      </c>
    </row>
    <row r="65">
      <c r="A65" s="26">
        <f>IF(Setup!$C12="","",Setup!$C12)</f>
        <v/>
      </c>
      <c r="B65" s="20">
        <f>IF($A65="","",SUMIFS('Time Log'!$E$5:$E$1004,'Time Log'!$C$5:$C$1004,$A65))</f>
        <v/>
      </c>
      <c r="C65" s="33">
        <f>IF(Setup!$C12="","",Setup!$D12)</f>
        <v/>
      </c>
      <c r="D65" s="23">
        <f>IF($A65="","",IF($C65&lt;&gt;"Yes","",IFERROR(B65/B7,0)))</f>
        <v/>
      </c>
    </row>
    <row r="66">
      <c r="A66" s="27">
        <f>IF(Setup!$C13="","",Setup!$C13)</f>
        <v/>
      </c>
      <c r="B66" s="28">
        <f>IF($A66="","",SUMIFS('Time Log'!$E$5:$E$1004,'Time Log'!$C$5:$C$1004,$A66))</f>
        <v/>
      </c>
      <c r="C66" s="34">
        <f>IF(Setup!$C13="","",Setup!$D13)</f>
        <v/>
      </c>
      <c r="D66" s="35">
        <f>IF($A66="","",IF($C66&lt;&gt;"Yes","",IFERROR(B66/B7,0)))</f>
        <v/>
      </c>
    </row>
    <row r="67">
      <c r="A67" s="26">
        <f>IF(Setup!$C14="","",Setup!$C14)</f>
        <v/>
      </c>
      <c r="B67" s="20">
        <f>IF($A67="","",SUMIFS('Time Log'!$E$5:$E$1004,'Time Log'!$C$5:$C$1004,$A67))</f>
        <v/>
      </c>
      <c r="C67" s="33">
        <f>IF(Setup!$C14="","",Setup!$D14)</f>
        <v/>
      </c>
      <c r="D67" s="23">
        <f>IF($A67="","",IF($C67&lt;&gt;"Yes","",IFERROR(B67/B7,0)))</f>
        <v/>
      </c>
    </row>
    <row r="68">
      <c r="A68" s="27">
        <f>IF(Setup!$C15="","",Setup!$C15)</f>
        <v/>
      </c>
      <c r="B68" s="28">
        <f>IF($A68="","",SUMIFS('Time Log'!$E$5:$E$1004,'Time Log'!$C$5:$C$1004,$A68))</f>
        <v/>
      </c>
      <c r="C68" s="34">
        <f>IF(Setup!$C15="","",Setup!$D15)</f>
        <v/>
      </c>
      <c r="D68" s="35">
        <f>IF($A68="","",IF($C68&lt;&gt;"Yes","",IFERROR(B68/B7,0)))</f>
        <v/>
      </c>
    </row>
    <row r="69">
      <c r="A69" s="26">
        <f>IF(Setup!$C16="","",Setup!$C16)</f>
        <v/>
      </c>
      <c r="B69" s="20">
        <f>IF($A69="","",SUMIFS('Time Log'!$E$5:$E$1004,'Time Log'!$C$5:$C$1004,$A69))</f>
        <v/>
      </c>
      <c r="C69" s="33">
        <f>IF(Setup!$C16="","",Setup!$D16)</f>
        <v/>
      </c>
      <c r="D69" s="23">
        <f>IF($A69="","",IF($C69&lt;&gt;"Yes","",IFERROR(B69/B7,0)))</f>
        <v/>
      </c>
    </row>
    <row r="70">
      <c r="A70" s="27">
        <f>IF(Setup!$C17="","",Setup!$C17)</f>
        <v/>
      </c>
      <c r="B70" s="28">
        <f>IF($A70="","",SUMIFS('Time Log'!$E$5:$E$1004,'Time Log'!$C$5:$C$1004,$A70))</f>
        <v/>
      </c>
      <c r="C70" s="34">
        <f>IF(Setup!$C17="","",Setup!$D17)</f>
        <v/>
      </c>
      <c r="D70" s="35">
        <f>IF($A70="","",IF($C70&lt;&gt;"Yes","",IFERROR(B70/B7,0)))</f>
        <v/>
      </c>
    </row>
    <row r="71">
      <c r="A71" s="26">
        <f>IF(Setup!$C18="","",Setup!$C18)</f>
        <v/>
      </c>
      <c r="B71" s="20">
        <f>IF($A71="","",SUMIFS('Time Log'!$E$5:$E$1004,'Time Log'!$C$5:$C$1004,$A71))</f>
        <v/>
      </c>
      <c r="C71" s="33">
        <f>IF(Setup!$C18="","",Setup!$D18)</f>
        <v/>
      </c>
      <c r="D71" s="23">
        <f>IF($A71="","",IF($C71&lt;&gt;"Yes","",IFERROR(B71/B7,0)))</f>
        <v/>
      </c>
    </row>
    <row r="72">
      <c r="A72" s="27">
        <f>IF(Setup!$C19="","",Setup!$C19)</f>
        <v/>
      </c>
      <c r="B72" s="28">
        <f>IF($A72="","",SUMIFS('Time Log'!$E$5:$E$1004,'Time Log'!$C$5:$C$1004,$A72))</f>
        <v/>
      </c>
      <c r="C72" s="34">
        <f>IF(Setup!$C19="","",Setup!$D19)</f>
        <v/>
      </c>
      <c r="D72" s="35">
        <f>IF($A72="","",IF($C72&lt;&gt;"Yes","",IFERROR(B72/B7,0)))</f>
        <v/>
      </c>
    </row>
    <row r="73">
      <c r="A73" s="26">
        <f>IF(Setup!$C20="","",Setup!$C20)</f>
        <v/>
      </c>
      <c r="B73" s="20">
        <f>IF($A73="","",SUMIFS('Time Log'!$E$5:$E$1004,'Time Log'!$C$5:$C$1004,$A73))</f>
        <v/>
      </c>
      <c r="C73" s="33">
        <f>IF(Setup!$C20="","",Setup!$D20)</f>
        <v/>
      </c>
      <c r="D73" s="23">
        <f>IF($A73="","",IF($C73&lt;&gt;"Yes","",IFERROR(B73/B7,0)))</f>
        <v/>
      </c>
    </row>
    <row r="74">
      <c r="A74" s="27">
        <f>IF(Setup!$C21="","",Setup!$C21)</f>
        <v/>
      </c>
      <c r="B74" s="28">
        <f>IF($A74="","",SUMIFS('Time Log'!$E$5:$E$1004,'Time Log'!$C$5:$C$1004,$A74))</f>
        <v/>
      </c>
      <c r="C74" s="34">
        <f>IF(Setup!$C21="","",Setup!$D21)</f>
        <v/>
      </c>
      <c r="D74" s="35">
        <f>IF($A74="","",IF($C74&lt;&gt;"Yes","",IFERROR(B74/B7,0)))</f>
        <v/>
      </c>
    </row>
    <row r="75">
      <c r="A75" s="26">
        <f>IF(Setup!$C22="","",Setup!$C22)</f>
        <v/>
      </c>
      <c r="B75" s="20">
        <f>IF($A75="","",SUMIFS('Time Log'!$E$5:$E$1004,'Time Log'!$C$5:$C$1004,$A75))</f>
        <v/>
      </c>
      <c r="C75" s="33">
        <f>IF(Setup!$C22="","",Setup!$D22)</f>
        <v/>
      </c>
      <c r="D75" s="23">
        <f>IF($A75="","",IF($C75&lt;&gt;"Yes","",IFERROR(B75/B7,0)))</f>
        <v/>
      </c>
    </row>
    <row r="76">
      <c r="A76" s="27">
        <f>IF(Setup!$C23="","",Setup!$C23)</f>
        <v/>
      </c>
      <c r="B76" s="28">
        <f>IF($A76="","",SUMIFS('Time Log'!$E$5:$E$1004,'Time Log'!$C$5:$C$1004,$A76))</f>
        <v/>
      </c>
      <c r="C76" s="34">
        <f>IF(Setup!$C23="","",Setup!$D23)</f>
        <v/>
      </c>
      <c r="D76" s="35">
        <f>IF($A76="","",IF($C76&lt;&gt;"Yes","",IFERROR(B76/B7,0)))</f>
        <v/>
      </c>
    </row>
    <row r="77">
      <c r="A77" s="26">
        <f>IF(Setup!$C24="","",Setup!$C24)</f>
        <v/>
      </c>
      <c r="B77" s="20">
        <f>IF($A77="","",SUMIFS('Time Log'!$E$5:$E$1004,'Time Log'!$C$5:$C$1004,$A77))</f>
        <v/>
      </c>
      <c r="C77" s="33">
        <f>IF(Setup!$C24="","",Setup!$D24)</f>
        <v/>
      </c>
      <c r="D77" s="23">
        <f>IF($A77="","",IF($C77&lt;&gt;"Yes","",IFERROR(B77/B7,0)))</f>
        <v/>
      </c>
    </row>
    <row r="78">
      <c r="A78" s="27">
        <f>IF(Setup!$C25="","",Setup!$C25)</f>
        <v/>
      </c>
      <c r="B78" s="28">
        <f>IF($A78="","",SUMIFS('Time Log'!$E$5:$E$1004,'Time Log'!$C$5:$C$1004,$A78))</f>
        <v/>
      </c>
      <c r="C78" s="34">
        <f>IF(Setup!$C25="","",Setup!$D25)</f>
        <v/>
      </c>
      <c r="D78" s="35">
        <f>IF($A78="","",IF($C78&lt;&gt;"Yes","",IFERROR(B78/B7,0)))</f>
        <v/>
      </c>
    </row>
    <row r="79">
      <c r="A79" s="26">
        <f>IF(Setup!$C26="","",Setup!$C26)</f>
        <v/>
      </c>
      <c r="B79" s="20">
        <f>IF($A79="","",SUMIFS('Time Log'!$E$5:$E$1004,'Time Log'!$C$5:$C$1004,$A79))</f>
        <v/>
      </c>
      <c r="C79" s="33">
        <f>IF(Setup!$C26="","",Setup!$D26)</f>
        <v/>
      </c>
      <c r="D79" s="23">
        <f>IF($A79="","",IF($C79&lt;&gt;"Yes","",IFERROR(B79/B7,0)))</f>
        <v/>
      </c>
    </row>
    <row r="80">
      <c r="A80" s="27">
        <f>IF(Setup!$C27="","",Setup!$C27)</f>
        <v/>
      </c>
      <c r="B80" s="28">
        <f>IF($A80="","",SUMIFS('Time Log'!$E$5:$E$1004,'Time Log'!$C$5:$C$1004,$A80))</f>
        <v/>
      </c>
      <c r="C80" s="34">
        <f>IF(Setup!$C27="","",Setup!$D27)</f>
        <v/>
      </c>
      <c r="D80" s="35">
        <f>IF($A80="","",IF($C80&lt;&gt;"Yes","",IFERROR(B80/B7,0)))</f>
        <v/>
      </c>
    </row>
    <row r="81">
      <c r="A81" s="26">
        <f>IF(Setup!$C28="","",Setup!$C28)</f>
        <v/>
      </c>
      <c r="B81" s="20">
        <f>IF($A81="","",SUMIFS('Time Log'!$E$5:$E$1004,'Time Log'!$C$5:$C$1004,$A81))</f>
        <v/>
      </c>
      <c r="C81" s="33">
        <f>IF(Setup!$C28="","",Setup!$D28)</f>
        <v/>
      </c>
      <c r="D81" s="23">
        <f>IF($A81="","",IF($C81&lt;&gt;"Yes","",IFERROR(B81/B7,0)))</f>
        <v/>
      </c>
    </row>
    <row r="83" ht="20" customHeight="1">
      <c r="A83" s="13" t="inlineStr">
        <is>
          <t xml:space="preserve">  HOURS BY MONTH</t>
        </is>
      </c>
      <c r="B83" s="14" t="n"/>
      <c r="C83" s="14" t="n"/>
      <c r="D83" s="14" t="n"/>
    </row>
    <row r="84">
      <c r="A84" s="17" t="inlineStr">
        <is>
          <t>Month</t>
        </is>
      </c>
      <c r="B84" s="17" t="inlineStr">
        <is>
          <t>Total hours</t>
        </is>
      </c>
      <c r="C84" s="17" t="inlineStr">
        <is>
          <t>Qualifying</t>
        </is>
      </c>
      <c r="D84" s="17" t="inlineStr">
        <is>
          <t>Cumulative qualifying</t>
        </is>
      </c>
    </row>
    <row r="85">
      <c r="A85" s="15" t="inlineStr">
        <is>
          <t>January</t>
        </is>
      </c>
      <c r="B85" s="20">
        <f>SUMIFS('Time Log'!$E$5:$E$1004,'Time Log'!$G$5:$G$1004,1)</f>
        <v/>
      </c>
      <c r="C85" s="20">
        <f>SUMIFS('Time Log'!$E$5:$E$1004,'Time Log'!$G$5:$G$1004,1,'Time Log'!$F$5:$F$1004,"Yes")</f>
        <v/>
      </c>
      <c r="D85" s="20">
        <f>SUM($C$85:C85)</f>
        <v/>
      </c>
    </row>
    <row r="86">
      <c r="A86" s="36" t="inlineStr">
        <is>
          <t>February</t>
        </is>
      </c>
      <c r="B86" s="28">
        <f>SUMIFS('Time Log'!$E$5:$E$1004,'Time Log'!$G$5:$G$1004,2)</f>
        <v/>
      </c>
      <c r="C86" s="28">
        <f>SUMIFS('Time Log'!$E$5:$E$1004,'Time Log'!$G$5:$G$1004,2,'Time Log'!$F$5:$F$1004,"Yes")</f>
        <v/>
      </c>
      <c r="D86" s="28">
        <f>SUM($C$85:C86)</f>
        <v/>
      </c>
    </row>
    <row r="87">
      <c r="A87" s="15" t="inlineStr">
        <is>
          <t>March</t>
        </is>
      </c>
      <c r="B87" s="20">
        <f>SUMIFS('Time Log'!$E$5:$E$1004,'Time Log'!$G$5:$G$1004,3)</f>
        <v/>
      </c>
      <c r="C87" s="20">
        <f>SUMIFS('Time Log'!$E$5:$E$1004,'Time Log'!$G$5:$G$1004,3,'Time Log'!$F$5:$F$1004,"Yes")</f>
        <v/>
      </c>
      <c r="D87" s="20">
        <f>SUM($C$85:C87)</f>
        <v/>
      </c>
    </row>
    <row r="88">
      <c r="A88" s="36" t="inlineStr">
        <is>
          <t>April</t>
        </is>
      </c>
      <c r="B88" s="28">
        <f>SUMIFS('Time Log'!$E$5:$E$1004,'Time Log'!$G$5:$G$1004,4)</f>
        <v/>
      </c>
      <c r="C88" s="28">
        <f>SUMIFS('Time Log'!$E$5:$E$1004,'Time Log'!$G$5:$G$1004,4,'Time Log'!$F$5:$F$1004,"Yes")</f>
        <v/>
      </c>
      <c r="D88" s="28">
        <f>SUM($C$85:C88)</f>
        <v/>
      </c>
    </row>
    <row r="89">
      <c r="A89" s="15" t="inlineStr">
        <is>
          <t>May</t>
        </is>
      </c>
      <c r="B89" s="20">
        <f>SUMIFS('Time Log'!$E$5:$E$1004,'Time Log'!$G$5:$G$1004,5)</f>
        <v/>
      </c>
      <c r="C89" s="20">
        <f>SUMIFS('Time Log'!$E$5:$E$1004,'Time Log'!$G$5:$G$1004,5,'Time Log'!$F$5:$F$1004,"Yes")</f>
        <v/>
      </c>
      <c r="D89" s="20">
        <f>SUM($C$85:C89)</f>
        <v/>
      </c>
    </row>
    <row r="90">
      <c r="A90" s="36" t="inlineStr">
        <is>
          <t>June</t>
        </is>
      </c>
      <c r="B90" s="28">
        <f>SUMIFS('Time Log'!$E$5:$E$1004,'Time Log'!$G$5:$G$1004,6)</f>
        <v/>
      </c>
      <c r="C90" s="28">
        <f>SUMIFS('Time Log'!$E$5:$E$1004,'Time Log'!$G$5:$G$1004,6,'Time Log'!$F$5:$F$1004,"Yes")</f>
        <v/>
      </c>
      <c r="D90" s="28">
        <f>SUM($C$85:C90)</f>
        <v/>
      </c>
    </row>
    <row r="91">
      <c r="A91" s="15" t="inlineStr">
        <is>
          <t>July</t>
        </is>
      </c>
      <c r="B91" s="20">
        <f>SUMIFS('Time Log'!$E$5:$E$1004,'Time Log'!$G$5:$G$1004,7)</f>
        <v/>
      </c>
      <c r="C91" s="20">
        <f>SUMIFS('Time Log'!$E$5:$E$1004,'Time Log'!$G$5:$G$1004,7,'Time Log'!$F$5:$F$1004,"Yes")</f>
        <v/>
      </c>
      <c r="D91" s="20">
        <f>SUM($C$85:C91)</f>
        <v/>
      </c>
    </row>
    <row r="92">
      <c r="A92" s="36" t="inlineStr">
        <is>
          <t>August</t>
        </is>
      </c>
      <c r="B92" s="28">
        <f>SUMIFS('Time Log'!$E$5:$E$1004,'Time Log'!$G$5:$G$1004,8)</f>
        <v/>
      </c>
      <c r="C92" s="28">
        <f>SUMIFS('Time Log'!$E$5:$E$1004,'Time Log'!$G$5:$G$1004,8,'Time Log'!$F$5:$F$1004,"Yes")</f>
        <v/>
      </c>
      <c r="D92" s="28">
        <f>SUM($C$85:C92)</f>
        <v/>
      </c>
    </row>
    <row r="93">
      <c r="A93" s="15" t="inlineStr">
        <is>
          <t>September</t>
        </is>
      </c>
      <c r="B93" s="20">
        <f>SUMIFS('Time Log'!$E$5:$E$1004,'Time Log'!$G$5:$G$1004,9)</f>
        <v/>
      </c>
      <c r="C93" s="20">
        <f>SUMIFS('Time Log'!$E$5:$E$1004,'Time Log'!$G$5:$G$1004,9,'Time Log'!$F$5:$F$1004,"Yes")</f>
        <v/>
      </c>
      <c r="D93" s="20">
        <f>SUM($C$85:C93)</f>
        <v/>
      </c>
    </row>
    <row r="94">
      <c r="A94" s="36" t="inlineStr">
        <is>
          <t>October</t>
        </is>
      </c>
      <c r="B94" s="28">
        <f>SUMIFS('Time Log'!$E$5:$E$1004,'Time Log'!$G$5:$G$1004,10)</f>
        <v/>
      </c>
      <c r="C94" s="28">
        <f>SUMIFS('Time Log'!$E$5:$E$1004,'Time Log'!$G$5:$G$1004,10,'Time Log'!$F$5:$F$1004,"Yes")</f>
        <v/>
      </c>
      <c r="D94" s="28">
        <f>SUM($C$85:C94)</f>
        <v/>
      </c>
    </row>
    <row r="95">
      <c r="A95" s="15" t="inlineStr">
        <is>
          <t>November</t>
        </is>
      </c>
      <c r="B95" s="20">
        <f>SUMIFS('Time Log'!$E$5:$E$1004,'Time Log'!$G$5:$G$1004,11)</f>
        <v/>
      </c>
      <c r="C95" s="20">
        <f>SUMIFS('Time Log'!$E$5:$E$1004,'Time Log'!$G$5:$G$1004,11,'Time Log'!$F$5:$F$1004,"Yes")</f>
        <v/>
      </c>
      <c r="D95" s="20">
        <f>SUM($C$85:C95)</f>
        <v/>
      </c>
    </row>
    <row r="96">
      <c r="A96" s="36" t="inlineStr">
        <is>
          <t>December</t>
        </is>
      </c>
      <c r="B96" s="28">
        <f>SUMIFS('Time Log'!$E$5:$E$1004,'Time Log'!$G$5:$G$1004,12)</f>
        <v/>
      </c>
      <c r="C96" s="28">
        <f>SUMIFS('Time Log'!$E$5:$E$1004,'Time Log'!$G$5:$G$1004,12,'Time Log'!$F$5:$F$1004,"Yes")</f>
        <v/>
      </c>
      <c r="D96" s="28">
        <f>SUM($C$85:C96)</f>
        <v/>
      </c>
    </row>
    <row r="97">
      <c r="A97" s="30" t="inlineStr">
        <is>
          <t>Total</t>
        </is>
      </c>
      <c r="B97" s="31">
        <f>SUM(B85:B96)</f>
        <v/>
      </c>
      <c r="C97" s="31">
        <f>SUM(C85:C96)</f>
        <v/>
      </c>
      <c r="D97" s="32" t="n"/>
    </row>
    <row r="99">
      <c r="A99" s="10" t="inlineStr">
        <is>
          <t>Prepared from contemporaneous entries. Thresholds are statutory; category classifications are the preparer's and should be confirmed by your CPA.</t>
        </is>
      </c>
    </row>
  </sheetData>
  <mergeCells count="2">
    <mergeCell ref="A53:D53"/>
    <mergeCell ref="A99:D99"/>
  </mergeCells>
  <conditionalFormatting sqref="D14:D16">
    <cfRule type="cellIs" priority="1" operator="equal" dxfId="0">
      <formula>"MET"</formula>
    </cfRule>
    <cfRule type="cellIs" priority="2" operator="equal" dxfId="0">
      <formula>"QUALIFIES"</formula>
    </cfRule>
    <cfRule type="expression" priority="3" dxfId="1">
      <formula>LEFT(D14,3)="NOT"</formula>
    </cfRule>
    <cfRule type="cellIs" priority="4" operator="equal" dxfId="1">
      <formula>"DOES NOT QUALIFY"</formula>
    </cfRule>
  </conditionalFormatting>
  <conditionalFormatting sqref="D22:D51">
    <cfRule type="cellIs" priority="5" operator="equal" dxfId="2">
      <formula>"Met"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46" customWidth="1" min="3" max="3"/>
    <col width="14" customWidth="1" min="4" max="4"/>
    <col width="52" customWidth="1" min="5" max="5"/>
    <col width="3" customWidth="1" min="6" max="6"/>
    <col width="16" customWidth="1" min="7" max="7"/>
    <col width="26" customWidth="1" min="8" max="8"/>
  </cols>
  <sheetData>
    <row r="1">
      <c r="A1" s="1" t="inlineStr">
        <is>
          <t>Setup - edit these lists</t>
        </is>
      </c>
    </row>
    <row r="2">
      <c r="A2" s="2" t="inlineStr">
        <is>
          <t>The Time Log dropdowns and every Dashboard total read from here.</t>
        </is>
      </c>
    </row>
    <row r="3">
      <c r="A3" s="37" t="inlineStr">
        <is>
          <t>Properties / Entities</t>
        </is>
      </c>
      <c r="C3" s="17" t="inlineStr">
        <is>
          <t>Activity Category</t>
        </is>
      </c>
      <c r="D3" s="17" t="inlineStr">
        <is>
          <t>Counts Toward REPS?</t>
        </is>
      </c>
      <c r="E3" s="17" t="inlineStr">
        <is>
          <t>Basis / Note</t>
        </is>
      </c>
      <c r="G3" s="17" t="inlineStr">
        <is>
          <t>Month</t>
        </is>
      </c>
      <c r="H3" s="17" t="inlineStr">
        <is>
          <t>Hours in NON-real-estate work</t>
        </is>
      </c>
    </row>
    <row r="4">
      <c r="A4" s="38" t="inlineStr">
        <is>
          <t>Brokerage - General (no property)</t>
        </is>
      </c>
      <c r="C4" s="39" t="inlineStr">
        <is>
          <t>Property showings &amp; client tours</t>
        </is>
      </c>
      <c r="D4" s="40" t="inlineStr">
        <is>
          <t>Yes</t>
        </is>
      </c>
      <c r="E4" s="41" t="inlineStr">
        <is>
          <t>Brokerage - real property trade or business</t>
        </is>
      </c>
      <c r="G4" s="15" t="inlineStr">
        <is>
          <t>January</t>
        </is>
      </c>
      <c r="H4" s="42" t="n">
        <v>0</v>
      </c>
    </row>
    <row r="5">
      <c r="A5" s="38" t="inlineStr">
        <is>
          <t>123 Oak Street - Rental</t>
        </is>
      </c>
      <c r="C5" s="39" t="inlineStr">
        <is>
          <t>Listing presentations &amp; pricing analysis</t>
        </is>
      </c>
      <c r="D5" s="40" t="inlineStr">
        <is>
          <t>Yes</t>
        </is>
      </c>
      <c r="E5" s="41" t="inlineStr">
        <is>
          <t>Brokerage</t>
        </is>
      </c>
      <c r="G5" s="15" t="inlineStr">
        <is>
          <t>February</t>
        </is>
      </c>
      <c r="H5" s="42" t="n">
        <v>0</v>
      </c>
    </row>
    <row r="6">
      <c r="A6" s="38" t="inlineStr">
        <is>
          <t>456 Maple Ave - Rental</t>
        </is>
      </c>
      <c r="C6" s="39" t="inlineStr">
        <is>
          <t>Buyer / seller consultations</t>
        </is>
      </c>
      <c r="D6" s="40" t="inlineStr">
        <is>
          <t>Yes</t>
        </is>
      </c>
      <c r="E6" s="41" t="inlineStr">
        <is>
          <t>Brokerage</t>
        </is>
      </c>
      <c r="G6" s="15" t="inlineStr">
        <is>
          <t>March</t>
        </is>
      </c>
      <c r="H6" s="42" t="n">
        <v>0</v>
      </c>
    </row>
    <row r="7">
      <c r="A7" s="43" t="n"/>
      <c r="C7" s="39" t="inlineStr">
        <is>
          <t>Offer preparation &amp; contract negotiation</t>
        </is>
      </c>
      <c r="D7" s="40" t="inlineStr">
        <is>
          <t>Yes</t>
        </is>
      </c>
      <c r="E7" s="41" t="inlineStr">
        <is>
          <t>Brokerage</t>
        </is>
      </c>
      <c r="G7" s="15" t="inlineStr">
        <is>
          <t>April</t>
        </is>
      </c>
      <c r="H7" s="42" t="n">
        <v>0</v>
      </c>
    </row>
    <row r="8">
      <c r="A8" s="43" t="n"/>
      <c r="C8" s="39" t="inlineStr">
        <is>
          <t>Transaction coordination &amp; closing</t>
        </is>
      </c>
      <c r="D8" s="40" t="inlineStr">
        <is>
          <t>Yes</t>
        </is>
      </c>
      <c r="E8" s="41" t="inlineStr">
        <is>
          <t>Brokerage</t>
        </is>
      </c>
      <c r="G8" s="15" t="inlineStr">
        <is>
          <t>May</t>
        </is>
      </c>
      <c r="H8" s="42" t="n">
        <v>0</v>
      </c>
    </row>
    <row r="9">
      <c r="A9" s="43" t="n"/>
      <c r="C9" s="39" t="inlineStr">
        <is>
          <t>Acquisition research &amp; due diligence</t>
        </is>
      </c>
      <c r="D9" s="40" t="inlineStr">
        <is>
          <t>Yes</t>
        </is>
      </c>
      <c r="E9" s="41" t="inlineStr">
        <is>
          <t>Acquisition - operational, not investor review</t>
        </is>
      </c>
      <c r="G9" s="15" t="inlineStr">
        <is>
          <t>June</t>
        </is>
      </c>
      <c r="H9" s="42" t="n">
        <v>0</v>
      </c>
    </row>
    <row r="10">
      <c r="A10" s="43" t="n"/>
      <c r="C10" s="39" t="inlineStr">
        <is>
          <t>Tenant screening &amp; leasing</t>
        </is>
      </c>
      <c r="D10" s="40" t="inlineStr">
        <is>
          <t>Yes</t>
        </is>
      </c>
      <c r="E10" s="41" t="inlineStr">
        <is>
          <t>Rental / leasing</t>
        </is>
      </c>
      <c r="G10" s="15" t="inlineStr">
        <is>
          <t>July</t>
        </is>
      </c>
      <c r="H10" s="42" t="n">
        <v>0</v>
      </c>
    </row>
    <row r="11">
      <c r="A11" s="43" t="n"/>
      <c r="C11" s="39" t="inlineStr">
        <is>
          <t>Rent collection &amp; tenant communications</t>
        </is>
      </c>
      <c r="D11" s="40" t="inlineStr">
        <is>
          <t>Yes</t>
        </is>
      </c>
      <c r="E11" s="41" t="inlineStr">
        <is>
          <t>Operation / management</t>
        </is>
      </c>
      <c r="G11" s="15" t="inlineStr">
        <is>
          <t>August</t>
        </is>
      </c>
      <c r="H11" s="42" t="n">
        <v>0</v>
      </c>
    </row>
    <row r="12">
      <c r="A12" s="43" t="n"/>
      <c r="C12" s="39" t="inlineStr">
        <is>
          <t>Property maintenance &amp; repairs (self-performed)</t>
        </is>
      </c>
      <c r="D12" s="40" t="inlineStr">
        <is>
          <t>Yes</t>
        </is>
      </c>
      <c r="E12" s="41" t="inlineStr">
        <is>
          <t>Operation</t>
        </is>
      </c>
      <c r="G12" s="15" t="inlineStr">
        <is>
          <t>September</t>
        </is>
      </c>
      <c r="H12" s="42" t="n">
        <v>0</v>
      </c>
    </row>
    <row r="13">
      <c r="A13" s="43" t="n"/>
      <c r="C13" s="39" t="inlineStr">
        <is>
          <t>Contractor sourcing, coordination &amp; supervision</t>
        </is>
      </c>
      <c r="D13" s="40" t="inlineStr">
        <is>
          <t>Yes</t>
        </is>
      </c>
      <c r="E13" s="41" t="inlineStr">
        <is>
          <t>Management</t>
        </is>
      </c>
      <c r="G13" s="15" t="inlineStr">
        <is>
          <t>October</t>
        </is>
      </c>
      <c r="H13" s="42" t="n">
        <v>0</v>
      </c>
    </row>
    <row r="14">
      <c r="A14" s="43" t="n"/>
      <c r="C14" s="39" t="inlineStr">
        <is>
          <t>Property inspections &amp; walkthroughs</t>
        </is>
      </c>
      <c r="D14" s="40" t="inlineStr">
        <is>
          <t>Yes</t>
        </is>
      </c>
      <c r="E14" s="41" t="inlineStr">
        <is>
          <t>Operation</t>
        </is>
      </c>
      <c r="G14" s="15" t="inlineStr">
        <is>
          <t>November</t>
        </is>
      </c>
      <c r="H14" s="42" t="n">
        <v>0</v>
      </c>
    </row>
    <row r="15">
      <c r="A15" s="43" t="n"/>
      <c r="C15" s="39" t="inlineStr">
        <is>
          <t>Renovation / construction management</t>
        </is>
      </c>
      <c r="D15" s="40" t="inlineStr">
        <is>
          <t>Yes</t>
        </is>
      </c>
      <c r="E15" s="41" t="inlineStr">
        <is>
          <t>Construction / redevelopment</t>
        </is>
      </c>
      <c r="G15" s="15" t="inlineStr">
        <is>
          <t>December</t>
        </is>
      </c>
      <c r="H15" s="42" t="n">
        <v>0</v>
      </c>
    </row>
    <row r="16">
      <c r="A16" s="43" t="n"/>
      <c r="C16" s="39" t="inlineStr">
        <is>
          <t>Property marketing &amp; advertising</t>
        </is>
      </c>
      <c r="D16" s="40" t="inlineStr">
        <is>
          <t>Yes</t>
        </is>
      </c>
      <c r="E16" s="41" t="inlineStr">
        <is>
          <t>Operation / brokerage</t>
        </is>
      </c>
      <c r="G16" s="44" t="inlineStr">
        <is>
          <t>Total</t>
        </is>
      </c>
      <c r="H16" s="45">
        <f>SUM(H4:H15)</f>
        <v/>
      </c>
    </row>
    <row r="17">
      <c r="A17" s="43" t="n"/>
      <c r="C17" s="39" t="inlineStr">
        <is>
          <t>Day-to-day operational bookkeeping (invoices, payables)</t>
        </is>
      </c>
      <c r="D17" s="40" t="inlineStr">
        <is>
          <t>Yes</t>
        </is>
      </c>
      <c r="E17" s="41" t="inlineStr">
        <is>
          <t>Operational, not investor analysis</t>
        </is>
      </c>
    </row>
    <row r="18">
      <c r="A18" s="43" t="n"/>
      <c r="C18" s="39" t="inlineStr">
        <is>
          <t>Vendor &amp; insurance management</t>
        </is>
      </c>
      <c r="D18" s="40" t="inlineStr">
        <is>
          <t>Yes</t>
        </is>
      </c>
      <c r="E18" s="41" t="inlineStr">
        <is>
          <t>Management</t>
        </is>
      </c>
      <c r="G18" s="46" t="inlineStr">
        <is>
          <t>W-2 job, other businesses -
anything not real property.</t>
        </is>
      </c>
    </row>
    <row r="19">
      <c r="A19" s="43" t="n"/>
      <c r="C19" s="39" t="inlineStr">
        <is>
          <t>Municipal / permitting / compliance work</t>
        </is>
      </c>
      <c r="D19" s="40" t="inlineStr">
        <is>
          <t>Yes</t>
        </is>
      </c>
      <c r="E19" s="41" t="inlineStr">
        <is>
          <t>Operation</t>
        </is>
      </c>
    </row>
    <row r="20">
      <c r="A20" s="43" t="n"/>
      <c r="C20" s="39" t="inlineStr">
        <is>
          <t>Travel between properties (business purpose)</t>
        </is>
      </c>
      <c r="D20" s="40" t="inlineStr">
        <is>
          <t>Yes</t>
        </is>
      </c>
      <c r="E20" s="41" t="inlineStr">
        <is>
          <t>CONTESTED - see Instructions; confirm with CPA</t>
        </is>
      </c>
    </row>
    <row r="21">
      <c r="A21" s="43" t="n"/>
      <c r="C21" s="39" t="inlineStr">
        <is>
          <t>Reviewing financial statements / operating reports</t>
        </is>
      </c>
      <c r="D21" s="40" t="inlineStr">
        <is>
          <t>No</t>
        </is>
      </c>
      <c r="E21" s="41" t="inlineStr">
        <is>
          <t>Investor activity - Reg. 1.469-5T(f)(2)(ii)(A)</t>
        </is>
      </c>
    </row>
    <row r="22">
      <c r="A22" s="43" t="n"/>
      <c r="C22" s="39" t="inlineStr">
        <is>
          <t>Preparing personal financial summaries or analyses</t>
        </is>
      </c>
      <c r="D22" s="40" t="inlineStr">
        <is>
          <t>No</t>
        </is>
      </c>
      <c r="E22" s="41" t="inlineStr">
        <is>
          <t>Investor activity - Reg. 1.469-5T(f)(2)(ii)(B)</t>
        </is>
      </c>
    </row>
    <row r="23">
      <c r="A23" s="43" t="n"/>
      <c r="C23" s="39" t="inlineStr">
        <is>
          <t>Non-managerial monitoring of investments</t>
        </is>
      </c>
      <c r="D23" s="40" t="inlineStr">
        <is>
          <t>No</t>
        </is>
      </c>
      <c r="E23" s="41" t="inlineStr">
        <is>
          <t>Investor activity - Reg. 1.469-5T(f)(2)(ii)(C)</t>
        </is>
      </c>
    </row>
    <row r="24">
      <c r="A24" s="43" t="n"/>
      <c r="C24" s="39" t="inlineStr">
        <is>
          <t>Continuing education, licensing &amp; seminars</t>
        </is>
      </c>
      <c r="D24" s="40" t="inlineStr">
        <is>
          <t>No</t>
        </is>
      </c>
      <c r="E24" s="41" t="inlineStr">
        <is>
          <t>Education generally not participation; confirm with CPA</t>
        </is>
      </c>
    </row>
    <row r="25">
      <c r="A25" s="43" t="n"/>
      <c r="C25" s="39" t="inlineStr">
        <is>
          <t>Commuting (home to office)</t>
        </is>
      </c>
      <c r="D25" s="40" t="inlineStr">
        <is>
          <t>No</t>
        </is>
      </c>
      <c r="E25" s="41" t="inlineStr">
        <is>
          <t>Commuting is not participation</t>
        </is>
      </c>
    </row>
    <row r="26">
      <c r="A26" s="43" t="n"/>
      <c r="C26" s="39" t="inlineStr">
        <is>
          <t>Personal tax preparation &amp; planning</t>
        </is>
      </c>
      <c r="D26" s="40" t="inlineStr">
        <is>
          <t>No</t>
        </is>
      </c>
      <c r="E26" s="41" t="inlineStr">
        <is>
          <t>Not a real property trade or business</t>
        </is>
      </c>
    </row>
    <row r="27">
      <c r="A27" s="43" t="n"/>
      <c r="C27" s="39" t="inlineStr">
        <is>
          <t>Work in a non-real-estate trade or business</t>
        </is>
      </c>
      <c r="D27" s="40" t="inlineStr">
        <is>
          <t>No</t>
        </is>
      </c>
      <c r="E27" s="41" t="inlineStr">
        <is>
          <t>Counts against the &gt;50% test - log in Setup</t>
        </is>
      </c>
    </row>
    <row r="28">
      <c r="A28" s="43" t="n"/>
      <c r="C28" s="39" t="n"/>
      <c r="D28" s="40" t="n"/>
      <c r="E28" s="41" t="n"/>
    </row>
    <row r="29">
      <c r="A29" s="43" t="n"/>
    </row>
    <row r="30">
      <c r="A30" s="43" t="n"/>
    </row>
    <row r="31">
      <c r="A31" s="43" t="n"/>
    </row>
    <row r="32">
      <c r="A32" s="43" t="n"/>
    </row>
    <row r="33">
      <c r="A33" s="43" t="n"/>
    </row>
  </sheetData>
  <dataValidations count="1">
    <dataValidation sqref="D4:D2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2" customWidth="1" min="4" max="4"/>
    <col width="9" customWidth="1" min="5" max="5"/>
    <col width="14" customWidth="1" min="6" max="6"/>
    <col width="6" customWidth="1" min="7" max="7"/>
  </cols>
  <sheetData>
    <row r="1">
      <c r="A1" s="1" t="inlineStr">
        <is>
          <t>Time Log</t>
        </is>
      </c>
    </row>
    <row r="2">
      <c r="A2" s="2" t="inlineStr">
        <is>
          <t>One row per work session. Enter the same day it happens. Hours in decimals: 15 min = 0.25, 90 min = 1.50.</t>
        </is>
      </c>
    </row>
    <row r="4" ht="30" customHeight="1">
      <c r="A4" s="47" t="inlineStr">
        <is>
          <t>Date</t>
        </is>
      </c>
      <c r="B4" s="47" t="inlineStr">
        <is>
          <t>Property / Entity</t>
        </is>
      </c>
      <c r="C4" s="47" t="inlineStr">
        <is>
          <t>Activity Category</t>
        </is>
      </c>
      <c r="D4" s="47" t="inlineStr">
        <is>
          <t>Description of Work Performed</t>
        </is>
      </c>
      <c r="E4" s="47" t="inlineStr">
        <is>
          <t>Hours</t>
        </is>
      </c>
      <c r="F4" s="47" t="inlineStr">
        <is>
          <t>Counts Toward REPS?</t>
        </is>
      </c>
      <c r="G4" s="47" t="inlineStr">
        <is>
          <t>Mo#</t>
        </is>
      </c>
    </row>
    <row r="5" ht="30" customHeight="1">
      <c r="A5" s="48" t="inlineStr">
        <is>
          <t>2025-01-06</t>
        </is>
      </c>
      <c r="B5" s="39" t="inlineStr">
        <is>
          <t>123 Oak Street - Rental</t>
        </is>
      </c>
      <c r="C5" s="39" t="inlineStr">
        <is>
          <t>Tenant screening &amp; leasing</t>
        </is>
      </c>
      <c r="D5" s="49" t="inlineStr">
        <is>
          <t>Screened three applicants for the upstairs unit: ran credit and background checks, called two prior landlords, sent lease to selected tenant.</t>
        </is>
      </c>
      <c r="E5" s="50" t="n">
        <v>2.75</v>
      </c>
      <c r="F5" s="33">
        <f>IF($C5="","",IFERROR(INDEX(Setup!$D$4:$D$28,MATCH($C5,Setup!$C$4:$C$28,0)),"CHECK"))</f>
        <v/>
      </c>
      <c r="G5" s="51">
        <f>IF($A5="","",MONTH($A5))</f>
        <v/>
      </c>
      <c r="I5" s="52" t="inlineStr">
        <is>
          <t>&lt;- EXAMPLE ROW - overwrite with your first real entry</t>
        </is>
      </c>
    </row>
    <row r="6">
      <c r="A6" s="53" t="n"/>
      <c r="B6" s="43" t="n"/>
      <c r="C6" s="43" t="n"/>
      <c r="D6" s="54" t="n"/>
      <c r="E6" s="55" t="n"/>
      <c r="F6" s="34">
        <f>IF($C6="","",IFERROR(INDEX(Setup!$D$4:$D$28,MATCH($C6,Setup!$C$4:$C$28,0)),"CHECK"))</f>
        <v/>
      </c>
      <c r="G6" s="56">
        <f>IF($A6="","",MONTH($A6))</f>
        <v/>
      </c>
    </row>
    <row r="7">
      <c r="A7" s="48" t="n"/>
      <c r="B7" s="39" t="n"/>
      <c r="C7" s="39" t="n"/>
      <c r="D7" s="49" t="n"/>
      <c r="E7" s="50" t="n"/>
      <c r="F7" s="33">
        <f>IF($C7="","",IFERROR(INDEX(Setup!$D$4:$D$28,MATCH($C7,Setup!$C$4:$C$28,0)),"CHECK"))</f>
        <v/>
      </c>
      <c r="G7" s="51">
        <f>IF($A7="","",MONTH($A7))</f>
        <v/>
      </c>
    </row>
    <row r="8">
      <c r="A8" s="53" t="n"/>
      <c r="B8" s="43" t="n"/>
      <c r="C8" s="43" t="n"/>
      <c r="D8" s="54" t="n"/>
      <c r="E8" s="55" t="n"/>
      <c r="F8" s="34">
        <f>IF($C8="","",IFERROR(INDEX(Setup!$D$4:$D$28,MATCH($C8,Setup!$C$4:$C$28,0)),"CHECK"))</f>
        <v/>
      </c>
      <c r="G8" s="56">
        <f>IF($A8="","",MONTH($A8))</f>
        <v/>
      </c>
    </row>
    <row r="9">
      <c r="A9" s="48" t="n"/>
      <c r="B9" s="39" t="n"/>
      <c r="C9" s="39" t="n"/>
      <c r="D9" s="49" t="n"/>
      <c r="E9" s="50" t="n"/>
      <c r="F9" s="33">
        <f>IF($C9="","",IFERROR(INDEX(Setup!$D$4:$D$28,MATCH($C9,Setup!$C$4:$C$28,0)),"CHECK"))</f>
        <v/>
      </c>
      <c r="G9" s="51">
        <f>IF($A9="","",MONTH($A9))</f>
        <v/>
      </c>
    </row>
    <row r="10">
      <c r="A10" s="53" t="n"/>
      <c r="B10" s="43" t="n"/>
      <c r="C10" s="43" t="n"/>
      <c r="D10" s="54" t="n"/>
      <c r="E10" s="55" t="n"/>
      <c r="F10" s="34">
        <f>IF($C10="","",IFERROR(INDEX(Setup!$D$4:$D$28,MATCH($C10,Setup!$C$4:$C$28,0)),"CHECK"))</f>
        <v/>
      </c>
      <c r="G10" s="56">
        <f>IF($A10="","",MONTH($A10))</f>
        <v/>
      </c>
    </row>
    <row r="11">
      <c r="A11" s="48" t="n"/>
      <c r="B11" s="39" t="n"/>
      <c r="C11" s="39" t="n"/>
      <c r="D11" s="49" t="n"/>
      <c r="E11" s="50" t="n"/>
      <c r="F11" s="33">
        <f>IF($C11="","",IFERROR(INDEX(Setup!$D$4:$D$28,MATCH($C11,Setup!$C$4:$C$28,0)),"CHECK"))</f>
        <v/>
      </c>
      <c r="G11" s="51">
        <f>IF($A11="","",MONTH($A11))</f>
        <v/>
      </c>
    </row>
    <row r="12">
      <c r="A12" s="53" t="n"/>
      <c r="B12" s="43" t="n"/>
      <c r="C12" s="43" t="n"/>
      <c r="D12" s="54" t="n"/>
      <c r="E12" s="55" t="n"/>
      <c r="F12" s="34">
        <f>IF($C12="","",IFERROR(INDEX(Setup!$D$4:$D$28,MATCH($C12,Setup!$C$4:$C$28,0)),"CHECK"))</f>
        <v/>
      </c>
      <c r="G12" s="56">
        <f>IF($A12="","",MONTH($A12))</f>
        <v/>
      </c>
    </row>
    <row r="13">
      <c r="A13" s="48" t="n"/>
      <c r="B13" s="39" t="n"/>
      <c r="C13" s="39" t="n"/>
      <c r="D13" s="49" t="n"/>
      <c r="E13" s="50" t="n"/>
      <c r="F13" s="33">
        <f>IF($C13="","",IFERROR(INDEX(Setup!$D$4:$D$28,MATCH($C13,Setup!$C$4:$C$28,0)),"CHECK"))</f>
        <v/>
      </c>
      <c r="G13" s="51">
        <f>IF($A13="","",MONTH($A13))</f>
        <v/>
      </c>
    </row>
    <row r="14">
      <c r="A14" s="53" t="n"/>
      <c r="B14" s="43" t="n"/>
      <c r="C14" s="43" t="n"/>
      <c r="D14" s="54" t="n"/>
      <c r="E14" s="55" t="n"/>
      <c r="F14" s="34">
        <f>IF($C14="","",IFERROR(INDEX(Setup!$D$4:$D$28,MATCH($C14,Setup!$C$4:$C$28,0)),"CHECK"))</f>
        <v/>
      </c>
      <c r="G14" s="56">
        <f>IF($A14="","",MONTH($A14))</f>
        <v/>
      </c>
    </row>
    <row r="15">
      <c r="A15" s="48" t="n"/>
      <c r="B15" s="39" t="n"/>
      <c r="C15" s="39" t="n"/>
      <c r="D15" s="49" t="n"/>
      <c r="E15" s="50" t="n"/>
      <c r="F15" s="33">
        <f>IF($C15="","",IFERROR(INDEX(Setup!$D$4:$D$28,MATCH($C15,Setup!$C$4:$C$28,0)),"CHECK"))</f>
        <v/>
      </c>
      <c r="G15" s="51">
        <f>IF($A15="","",MONTH($A15))</f>
        <v/>
      </c>
    </row>
    <row r="16">
      <c r="A16" s="53" t="n"/>
      <c r="B16" s="43" t="n"/>
      <c r="C16" s="43" t="n"/>
      <c r="D16" s="54" t="n"/>
      <c r="E16" s="55" t="n"/>
      <c r="F16" s="34">
        <f>IF($C16="","",IFERROR(INDEX(Setup!$D$4:$D$28,MATCH($C16,Setup!$C$4:$C$28,0)),"CHECK"))</f>
        <v/>
      </c>
      <c r="G16" s="56">
        <f>IF($A16="","",MONTH($A16))</f>
        <v/>
      </c>
    </row>
    <row r="17">
      <c r="A17" s="48" t="n"/>
      <c r="B17" s="39" t="n"/>
      <c r="C17" s="39" t="n"/>
      <c r="D17" s="49" t="n"/>
      <c r="E17" s="50" t="n"/>
      <c r="F17" s="33">
        <f>IF($C17="","",IFERROR(INDEX(Setup!$D$4:$D$28,MATCH($C17,Setup!$C$4:$C$28,0)),"CHECK"))</f>
        <v/>
      </c>
      <c r="G17" s="51">
        <f>IF($A17="","",MONTH($A17))</f>
        <v/>
      </c>
    </row>
    <row r="18">
      <c r="A18" s="53" t="n"/>
      <c r="B18" s="43" t="n"/>
      <c r="C18" s="43" t="n"/>
      <c r="D18" s="54" t="n"/>
      <c r="E18" s="55" t="n"/>
      <c r="F18" s="34">
        <f>IF($C18="","",IFERROR(INDEX(Setup!$D$4:$D$28,MATCH($C18,Setup!$C$4:$C$28,0)),"CHECK"))</f>
        <v/>
      </c>
      <c r="G18" s="56">
        <f>IF($A18="","",MONTH($A18))</f>
        <v/>
      </c>
    </row>
    <row r="19">
      <c r="A19" s="48" t="n"/>
      <c r="B19" s="39" t="n"/>
      <c r="C19" s="39" t="n"/>
      <c r="D19" s="49" t="n"/>
      <c r="E19" s="50" t="n"/>
      <c r="F19" s="33">
        <f>IF($C19="","",IFERROR(INDEX(Setup!$D$4:$D$28,MATCH($C19,Setup!$C$4:$C$28,0)),"CHECK"))</f>
        <v/>
      </c>
      <c r="G19" s="51">
        <f>IF($A19="","",MONTH($A19))</f>
        <v/>
      </c>
    </row>
    <row r="20">
      <c r="A20" s="53" t="n"/>
      <c r="B20" s="43" t="n"/>
      <c r="C20" s="43" t="n"/>
      <c r="D20" s="54" t="n"/>
      <c r="E20" s="55" t="n"/>
      <c r="F20" s="34">
        <f>IF($C20="","",IFERROR(INDEX(Setup!$D$4:$D$28,MATCH($C20,Setup!$C$4:$C$28,0)),"CHECK"))</f>
        <v/>
      </c>
      <c r="G20" s="56">
        <f>IF($A20="","",MONTH($A20))</f>
        <v/>
      </c>
    </row>
    <row r="21">
      <c r="A21" s="48" t="n"/>
      <c r="B21" s="39" t="n"/>
      <c r="C21" s="39" t="n"/>
      <c r="D21" s="49" t="n"/>
      <c r="E21" s="50" t="n"/>
      <c r="F21" s="33">
        <f>IF($C21="","",IFERROR(INDEX(Setup!$D$4:$D$28,MATCH($C21,Setup!$C$4:$C$28,0)),"CHECK"))</f>
        <v/>
      </c>
      <c r="G21" s="51">
        <f>IF($A21="","",MONTH($A21))</f>
        <v/>
      </c>
    </row>
    <row r="22">
      <c r="A22" s="53" t="n"/>
      <c r="B22" s="43" t="n"/>
      <c r="C22" s="43" t="n"/>
      <c r="D22" s="54" t="n"/>
      <c r="E22" s="55" t="n"/>
      <c r="F22" s="34">
        <f>IF($C22="","",IFERROR(INDEX(Setup!$D$4:$D$28,MATCH($C22,Setup!$C$4:$C$28,0)),"CHECK"))</f>
        <v/>
      </c>
      <c r="G22" s="56">
        <f>IF($A22="","",MONTH($A22))</f>
        <v/>
      </c>
    </row>
    <row r="23">
      <c r="A23" s="48" t="n"/>
      <c r="B23" s="39" t="n"/>
      <c r="C23" s="39" t="n"/>
      <c r="D23" s="49" t="n"/>
      <c r="E23" s="50" t="n"/>
      <c r="F23" s="33">
        <f>IF($C23="","",IFERROR(INDEX(Setup!$D$4:$D$28,MATCH($C23,Setup!$C$4:$C$28,0)),"CHECK"))</f>
        <v/>
      </c>
      <c r="G23" s="51">
        <f>IF($A23="","",MONTH($A23))</f>
        <v/>
      </c>
    </row>
    <row r="24">
      <c r="A24" s="53" t="n"/>
      <c r="B24" s="43" t="n"/>
      <c r="C24" s="43" t="n"/>
      <c r="D24" s="54" t="n"/>
      <c r="E24" s="55" t="n"/>
      <c r="F24" s="34">
        <f>IF($C24="","",IFERROR(INDEX(Setup!$D$4:$D$28,MATCH($C24,Setup!$C$4:$C$28,0)),"CHECK"))</f>
        <v/>
      </c>
      <c r="G24" s="56">
        <f>IF($A24="","",MONTH($A24))</f>
        <v/>
      </c>
    </row>
    <row r="25">
      <c r="A25" s="48" t="n"/>
      <c r="B25" s="39" t="n"/>
      <c r="C25" s="39" t="n"/>
      <c r="D25" s="49" t="n"/>
      <c r="E25" s="50" t="n"/>
      <c r="F25" s="33">
        <f>IF($C25="","",IFERROR(INDEX(Setup!$D$4:$D$28,MATCH($C25,Setup!$C$4:$C$28,0)),"CHECK"))</f>
        <v/>
      </c>
      <c r="G25" s="51">
        <f>IF($A25="","",MONTH($A25))</f>
        <v/>
      </c>
    </row>
    <row r="26">
      <c r="A26" s="53" t="n"/>
      <c r="B26" s="43" t="n"/>
      <c r="C26" s="43" t="n"/>
      <c r="D26" s="54" t="n"/>
      <c r="E26" s="55" t="n"/>
      <c r="F26" s="34">
        <f>IF($C26="","",IFERROR(INDEX(Setup!$D$4:$D$28,MATCH($C26,Setup!$C$4:$C$28,0)),"CHECK"))</f>
        <v/>
      </c>
      <c r="G26" s="56">
        <f>IF($A26="","",MONTH($A26))</f>
        <v/>
      </c>
    </row>
    <row r="27">
      <c r="A27" s="48" t="n"/>
      <c r="B27" s="39" t="n"/>
      <c r="C27" s="39" t="n"/>
      <c r="D27" s="49" t="n"/>
      <c r="E27" s="50" t="n"/>
      <c r="F27" s="33">
        <f>IF($C27="","",IFERROR(INDEX(Setup!$D$4:$D$28,MATCH($C27,Setup!$C$4:$C$28,0)),"CHECK"))</f>
        <v/>
      </c>
      <c r="G27" s="51">
        <f>IF($A27="","",MONTH($A27))</f>
        <v/>
      </c>
    </row>
    <row r="28">
      <c r="A28" s="53" t="n"/>
      <c r="B28" s="43" t="n"/>
      <c r="C28" s="43" t="n"/>
      <c r="D28" s="54" t="n"/>
      <c r="E28" s="55" t="n"/>
      <c r="F28" s="34">
        <f>IF($C28="","",IFERROR(INDEX(Setup!$D$4:$D$28,MATCH($C28,Setup!$C$4:$C$28,0)),"CHECK"))</f>
        <v/>
      </c>
      <c r="G28" s="56">
        <f>IF($A28="","",MONTH($A28))</f>
        <v/>
      </c>
    </row>
    <row r="29">
      <c r="A29" s="48" t="n"/>
      <c r="B29" s="39" t="n"/>
      <c r="C29" s="39" t="n"/>
      <c r="D29" s="49" t="n"/>
      <c r="E29" s="50" t="n"/>
      <c r="F29" s="33">
        <f>IF($C29="","",IFERROR(INDEX(Setup!$D$4:$D$28,MATCH($C29,Setup!$C$4:$C$28,0)),"CHECK"))</f>
        <v/>
      </c>
      <c r="G29" s="51">
        <f>IF($A29="","",MONTH($A29))</f>
        <v/>
      </c>
    </row>
    <row r="30">
      <c r="A30" s="53" t="n"/>
      <c r="B30" s="43" t="n"/>
      <c r="C30" s="43" t="n"/>
      <c r="D30" s="54" t="n"/>
      <c r="E30" s="55" t="n"/>
      <c r="F30" s="34">
        <f>IF($C30="","",IFERROR(INDEX(Setup!$D$4:$D$28,MATCH($C30,Setup!$C$4:$C$28,0)),"CHECK"))</f>
        <v/>
      </c>
      <c r="G30" s="56">
        <f>IF($A30="","",MONTH($A30))</f>
        <v/>
      </c>
    </row>
    <row r="31">
      <c r="A31" s="48" t="n"/>
      <c r="B31" s="39" t="n"/>
      <c r="C31" s="39" t="n"/>
      <c r="D31" s="49" t="n"/>
      <c r="E31" s="50" t="n"/>
      <c r="F31" s="33">
        <f>IF($C31="","",IFERROR(INDEX(Setup!$D$4:$D$28,MATCH($C31,Setup!$C$4:$C$28,0)),"CHECK"))</f>
        <v/>
      </c>
      <c r="G31" s="51">
        <f>IF($A31="","",MONTH($A31))</f>
        <v/>
      </c>
    </row>
    <row r="32">
      <c r="A32" s="53" t="n"/>
      <c r="B32" s="43" t="n"/>
      <c r="C32" s="43" t="n"/>
      <c r="D32" s="54" t="n"/>
      <c r="E32" s="55" t="n"/>
      <c r="F32" s="34">
        <f>IF($C32="","",IFERROR(INDEX(Setup!$D$4:$D$28,MATCH($C32,Setup!$C$4:$C$28,0)),"CHECK"))</f>
        <v/>
      </c>
      <c r="G32" s="56">
        <f>IF($A32="","",MONTH($A32))</f>
        <v/>
      </c>
    </row>
    <row r="33">
      <c r="A33" s="48" t="n"/>
      <c r="B33" s="39" t="n"/>
      <c r="C33" s="39" t="n"/>
      <c r="D33" s="49" t="n"/>
      <c r="E33" s="50" t="n"/>
      <c r="F33" s="33">
        <f>IF($C33="","",IFERROR(INDEX(Setup!$D$4:$D$28,MATCH($C33,Setup!$C$4:$C$28,0)),"CHECK"))</f>
        <v/>
      </c>
      <c r="G33" s="51">
        <f>IF($A33="","",MONTH($A33))</f>
        <v/>
      </c>
    </row>
    <row r="34">
      <c r="A34" s="53" t="n"/>
      <c r="B34" s="43" t="n"/>
      <c r="C34" s="43" t="n"/>
      <c r="D34" s="54" t="n"/>
      <c r="E34" s="55" t="n"/>
      <c r="F34" s="34">
        <f>IF($C34="","",IFERROR(INDEX(Setup!$D$4:$D$28,MATCH($C34,Setup!$C$4:$C$28,0)),"CHECK"))</f>
        <v/>
      </c>
      <c r="G34" s="56">
        <f>IF($A34="","",MONTH($A34))</f>
        <v/>
      </c>
    </row>
    <row r="35">
      <c r="A35" s="48" t="n"/>
      <c r="B35" s="39" t="n"/>
      <c r="C35" s="39" t="n"/>
      <c r="D35" s="49" t="n"/>
      <c r="E35" s="50" t="n"/>
      <c r="F35" s="33">
        <f>IF($C35="","",IFERROR(INDEX(Setup!$D$4:$D$28,MATCH($C35,Setup!$C$4:$C$28,0)),"CHECK"))</f>
        <v/>
      </c>
      <c r="G35" s="51">
        <f>IF($A35="","",MONTH($A35))</f>
        <v/>
      </c>
    </row>
    <row r="36">
      <c r="A36" s="53" t="n"/>
      <c r="B36" s="43" t="n"/>
      <c r="C36" s="43" t="n"/>
      <c r="D36" s="54" t="n"/>
      <c r="E36" s="55" t="n"/>
      <c r="F36" s="34">
        <f>IF($C36="","",IFERROR(INDEX(Setup!$D$4:$D$28,MATCH($C36,Setup!$C$4:$C$28,0)),"CHECK"))</f>
        <v/>
      </c>
      <c r="G36" s="56">
        <f>IF($A36="","",MONTH($A36))</f>
        <v/>
      </c>
    </row>
    <row r="37">
      <c r="A37" s="48" t="n"/>
      <c r="B37" s="39" t="n"/>
      <c r="C37" s="39" t="n"/>
      <c r="D37" s="49" t="n"/>
      <c r="E37" s="50" t="n"/>
      <c r="F37" s="33">
        <f>IF($C37="","",IFERROR(INDEX(Setup!$D$4:$D$28,MATCH($C37,Setup!$C$4:$C$28,0)),"CHECK"))</f>
        <v/>
      </c>
      <c r="G37" s="51">
        <f>IF($A37="","",MONTH($A37))</f>
        <v/>
      </c>
    </row>
    <row r="38">
      <c r="A38" s="53" t="n"/>
      <c r="B38" s="43" t="n"/>
      <c r="C38" s="43" t="n"/>
      <c r="D38" s="54" t="n"/>
      <c r="E38" s="55" t="n"/>
      <c r="F38" s="34">
        <f>IF($C38="","",IFERROR(INDEX(Setup!$D$4:$D$28,MATCH($C38,Setup!$C$4:$C$28,0)),"CHECK"))</f>
        <v/>
      </c>
      <c r="G38" s="56">
        <f>IF($A38="","",MONTH($A38))</f>
        <v/>
      </c>
    </row>
    <row r="39">
      <c r="A39" s="48" t="n"/>
      <c r="B39" s="39" t="n"/>
      <c r="C39" s="39" t="n"/>
      <c r="D39" s="49" t="n"/>
      <c r="E39" s="50" t="n"/>
      <c r="F39" s="33">
        <f>IF($C39="","",IFERROR(INDEX(Setup!$D$4:$D$28,MATCH($C39,Setup!$C$4:$C$28,0)),"CHECK"))</f>
        <v/>
      </c>
      <c r="G39" s="51">
        <f>IF($A39="","",MONTH($A39))</f>
        <v/>
      </c>
    </row>
    <row r="40">
      <c r="A40" s="53" t="n"/>
      <c r="B40" s="43" t="n"/>
      <c r="C40" s="43" t="n"/>
      <c r="D40" s="54" t="n"/>
      <c r="E40" s="55" t="n"/>
      <c r="F40" s="34">
        <f>IF($C40="","",IFERROR(INDEX(Setup!$D$4:$D$28,MATCH($C40,Setup!$C$4:$C$28,0)),"CHECK"))</f>
        <v/>
      </c>
      <c r="G40" s="56">
        <f>IF($A40="","",MONTH($A40))</f>
        <v/>
      </c>
    </row>
    <row r="41">
      <c r="A41" s="48" t="n"/>
      <c r="B41" s="39" t="n"/>
      <c r="C41" s="39" t="n"/>
      <c r="D41" s="49" t="n"/>
      <c r="E41" s="50" t="n"/>
      <c r="F41" s="33">
        <f>IF($C41="","",IFERROR(INDEX(Setup!$D$4:$D$28,MATCH($C41,Setup!$C$4:$C$28,0)),"CHECK"))</f>
        <v/>
      </c>
      <c r="G41" s="51">
        <f>IF($A41="","",MONTH($A41))</f>
        <v/>
      </c>
    </row>
    <row r="42">
      <c r="A42" s="53" t="n"/>
      <c r="B42" s="43" t="n"/>
      <c r="C42" s="43" t="n"/>
      <c r="D42" s="54" t="n"/>
      <c r="E42" s="55" t="n"/>
      <c r="F42" s="34">
        <f>IF($C42="","",IFERROR(INDEX(Setup!$D$4:$D$28,MATCH($C42,Setup!$C$4:$C$28,0)),"CHECK"))</f>
        <v/>
      </c>
      <c r="G42" s="56">
        <f>IF($A42="","",MONTH($A42))</f>
        <v/>
      </c>
    </row>
    <row r="43">
      <c r="A43" s="48" t="n"/>
      <c r="B43" s="39" t="n"/>
      <c r="C43" s="39" t="n"/>
      <c r="D43" s="49" t="n"/>
      <c r="E43" s="50" t="n"/>
      <c r="F43" s="33">
        <f>IF($C43="","",IFERROR(INDEX(Setup!$D$4:$D$28,MATCH($C43,Setup!$C$4:$C$28,0)),"CHECK"))</f>
        <v/>
      </c>
      <c r="G43" s="51">
        <f>IF($A43="","",MONTH($A43))</f>
        <v/>
      </c>
    </row>
    <row r="44">
      <c r="A44" s="53" t="n"/>
      <c r="B44" s="43" t="n"/>
      <c r="C44" s="43" t="n"/>
      <c r="D44" s="54" t="n"/>
      <c r="E44" s="55" t="n"/>
      <c r="F44" s="34">
        <f>IF($C44="","",IFERROR(INDEX(Setup!$D$4:$D$28,MATCH($C44,Setup!$C$4:$C$28,0)),"CHECK"))</f>
        <v/>
      </c>
      <c r="G44" s="56">
        <f>IF($A44="","",MONTH($A44))</f>
        <v/>
      </c>
    </row>
    <row r="45">
      <c r="A45" s="48" t="n"/>
      <c r="B45" s="39" t="n"/>
      <c r="C45" s="39" t="n"/>
      <c r="D45" s="49" t="n"/>
      <c r="E45" s="50" t="n"/>
      <c r="F45" s="33">
        <f>IF($C45="","",IFERROR(INDEX(Setup!$D$4:$D$28,MATCH($C45,Setup!$C$4:$C$28,0)),"CHECK"))</f>
        <v/>
      </c>
      <c r="G45" s="51">
        <f>IF($A45="","",MONTH($A45))</f>
        <v/>
      </c>
    </row>
    <row r="46">
      <c r="A46" s="53" t="n"/>
      <c r="B46" s="43" t="n"/>
      <c r="C46" s="43" t="n"/>
      <c r="D46" s="54" t="n"/>
      <c r="E46" s="55" t="n"/>
      <c r="F46" s="34">
        <f>IF($C46="","",IFERROR(INDEX(Setup!$D$4:$D$28,MATCH($C46,Setup!$C$4:$C$28,0)),"CHECK"))</f>
        <v/>
      </c>
      <c r="G46" s="56">
        <f>IF($A46="","",MONTH($A46))</f>
        <v/>
      </c>
    </row>
    <row r="47">
      <c r="A47" s="48" t="n"/>
      <c r="B47" s="39" t="n"/>
      <c r="C47" s="39" t="n"/>
      <c r="D47" s="49" t="n"/>
      <c r="E47" s="50" t="n"/>
      <c r="F47" s="33">
        <f>IF($C47="","",IFERROR(INDEX(Setup!$D$4:$D$28,MATCH($C47,Setup!$C$4:$C$28,0)),"CHECK"))</f>
        <v/>
      </c>
      <c r="G47" s="51">
        <f>IF($A47="","",MONTH($A47))</f>
        <v/>
      </c>
    </row>
    <row r="48">
      <c r="A48" s="53" t="n"/>
      <c r="B48" s="43" t="n"/>
      <c r="C48" s="43" t="n"/>
      <c r="D48" s="54" t="n"/>
      <c r="E48" s="55" t="n"/>
      <c r="F48" s="34">
        <f>IF($C48="","",IFERROR(INDEX(Setup!$D$4:$D$28,MATCH($C48,Setup!$C$4:$C$28,0)),"CHECK"))</f>
        <v/>
      </c>
      <c r="G48" s="56">
        <f>IF($A48="","",MONTH($A48))</f>
        <v/>
      </c>
    </row>
    <row r="49">
      <c r="A49" s="48" t="n"/>
      <c r="B49" s="39" t="n"/>
      <c r="C49" s="39" t="n"/>
      <c r="D49" s="49" t="n"/>
      <c r="E49" s="50" t="n"/>
      <c r="F49" s="33">
        <f>IF($C49="","",IFERROR(INDEX(Setup!$D$4:$D$28,MATCH($C49,Setup!$C$4:$C$28,0)),"CHECK"))</f>
        <v/>
      </c>
      <c r="G49" s="51">
        <f>IF($A49="","",MONTH($A49))</f>
        <v/>
      </c>
    </row>
    <row r="50">
      <c r="A50" s="53" t="n"/>
      <c r="B50" s="43" t="n"/>
      <c r="C50" s="43" t="n"/>
      <c r="D50" s="54" t="n"/>
      <c r="E50" s="55" t="n"/>
      <c r="F50" s="34">
        <f>IF($C50="","",IFERROR(INDEX(Setup!$D$4:$D$28,MATCH($C50,Setup!$C$4:$C$28,0)),"CHECK"))</f>
        <v/>
      </c>
      <c r="G50" s="56">
        <f>IF($A50="","",MONTH($A50))</f>
        <v/>
      </c>
    </row>
    <row r="51">
      <c r="A51" s="48" t="n"/>
      <c r="B51" s="39" t="n"/>
      <c r="C51" s="39" t="n"/>
      <c r="D51" s="49" t="n"/>
      <c r="E51" s="50" t="n"/>
      <c r="F51" s="33">
        <f>IF($C51="","",IFERROR(INDEX(Setup!$D$4:$D$28,MATCH($C51,Setup!$C$4:$C$28,0)),"CHECK"))</f>
        <v/>
      </c>
      <c r="G51" s="51">
        <f>IF($A51="","",MONTH($A51))</f>
        <v/>
      </c>
    </row>
    <row r="52">
      <c r="A52" s="53" t="n"/>
      <c r="B52" s="43" t="n"/>
      <c r="C52" s="43" t="n"/>
      <c r="D52" s="54" t="n"/>
      <c r="E52" s="55" t="n"/>
      <c r="F52" s="34">
        <f>IF($C52="","",IFERROR(INDEX(Setup!$D$4:$D$28,MATCH($C52,Setup!$C$4:$C$28,0)),"CHECK"))</f>
        <v/>
      </c>
      <c r="G52" s="56">
        <f>IF($A52="","",MONTH($A52))</f>
        <v/>
      </c>
    </row>
    <row r="53">
      <c r="A53" s="48" t="n"/>
      <c r="B53" s="39" t="n"/>
      <c r="C53" s="39" t="n"/>
      <c r="D53" s="49" t="n"/>
      <c r="E53" s="50" t="n"/>
      <c r="F53" s="33">
        <f>IF($C53="","",IFERROR(INDEX(Setup!$D$4:$D$28,MATCH($C53,Setup!$C$4:$C$28,0)),"CHECK"))</f>
        <v/>
      </c>
      <c r="G53" s="51">
        <f>IF($A53="","",MONTH($A53))</f>
        <v/>
      </c>
    </row>
    <row r="54">
      <c r="A54" s="53" t="n"/>
      <c r="B54" s="43" t="n"/>
      <c r="C54" s="43" t="n"/>
      <c r="D54" s="54" t="n"/>
      <c r="E54" s="55" t="n"/>
      <c r="F54" s="34">
        <f>IF($C54="","",IFERROR(INDEX(Setup!$D$4:$D$28,MATCH($C54,Setup!$C$4:$C$28,0)),"CHECK"))</f>
        <v/>
      </c>
      <c r="G54" s="56">
        <f>IF($A54="","",MONTH($A54))</f>
        <v/>
      </c>
    </row>
    <row r="55">
      <c r="A55" s="48" t="n"/>
      <c r="B55" s="39" t="n"/>
      <c r="C55" s="39" t="n"/>
      <c r="D55" s="49" t="n"/>
      <c r="E55" s="50" t="n"/>
      <c r="F55" s="33">
        <f>IF($C55="","",IFERROR(INDEX(Setup!$D$4:$D$28,MATCH($C55,Setup!$C$4:$C$28,0)),"CHECK"))</f>
        <v/>
      </c>
      <c r="G55" s="51">
        <f>IF($A55="","",MONTH($A55))</f>
        <v/>
      </c>
    </row>
    <row r="56">
      <c r="A56" s="53" t="n"/>
      <c r="B56" s="43" t="n"/>
      <c r="C56" s="43" t="n"/>
      <c r="D56" s="54" t="n"/>
      <c r="E56" s="55" t="n"/>
      <c r="F56" s="34">
        <f>IF($C56="","",IFERROR(INDEX(Setup!$D$4:$D$28,MATCH($C56,Setup!$C$4:$C$28,0)),"CHECK"))</f>
        <v/>
      </c>
      <c r="G56" s="56">
        <f>IF($A56="","",MONTH($A56))</f>
        <v/>
      </c>
    </row>
    <row r="57">
      <c r="A57" s="48" t="n"/>
      <c r="B57" s="39" t="n"/>
      <c r="C57" s="39" t="n"/>
      <c r="D57" s="49" t="n"/>
      <c r="E57" s="50" t="n"/>
      <c r="F57" s="33">
        <f>IF($C57="","",IFERROR(INDEX(Setup!$D$4:$D$28,MATCH($C57,Setup!$C$4:$C$28,0)),"CHECK"))</f>
        <v/>
      </c>
      <c r="G57" s="51">
        <f>IF($A57="","",MONTH($A57))</f>
        <v/>
      </c>
    </row>
    <row r="58">
      <c r="A58" s="53" t="n"/>
      <c r="B58" s="43" t="n"/>
      <c r="C58" s="43" t="n"/>
      <c r="D58" s="54" t="n"/>
      <c r="E58" s="55" t="n"/>
      <c r="F58" s="34">
        <f>IF($C58="","",IFERROR(INDEX(Setup!$D$4:$D$28,MATCH($C58,Setup!$C$4:$C$28,0)),"CHECK"))</f>
        <v/>
      </c>
      <c r="G58" s="56">
        <f>IF($A58="","",MONTH($A58))</f>
        <v/>
      </c>
    </row>
    <row r="59">
      <c r="A59" s="48" t="n"/>
      <c r="B59" s="39" t="n"/>
      <c r="C59" s="39" t="n"/>
      <c r="D59" s="49" t="n"/>
      <c r="E59" s="50" t="n"/>
      <c r="F59" s="33">
        <f>IF($C59="","",IFERROR(INDEX(Setup!$D$4:$D$28,MATCH($C59,Setup!$C$4:$C$28,0)),"CHECK"))</f>
        <v/>
      </c>
      <c r="G59" s="51">
        <f>IF($A59="","",MONTH($A59))</f>
        <v/>
      </c>
    </row>
    <row r="60">
      <c r="A60" s="53" t="n"/>
      <c r="B60" s="43" t="n"/>
      <c r="C60" s="43" t="n"/>
      <c r="D60" s="54" t="n"/>
      <c r="E60" s="55" t="n"/>
      <c r="F60" s="34">
        <f>IF($C60="","",IFERROR(INDEX(Setup!$D$4:$D$28,MATCH($C60,Setup!$C$4:$C$28,0)),"CHECK"))</f>
        <v/>
      </c>
      <c r="G60" s="56">
        <f>IF($A60="","",MONTH($A60))</f>
        <v/>
      </c>
    </row>
    <row r="61">
      <c r="A61" s="48" t="n"/>
      <c r="B61" s="39" t="n"/>
      <c r="C61" s="39" t="n"/>
      <c r="D61" s="49" t="n"/>
      <c r="E61" s="50" t="n"/>
      <c r="F61" s="33">
        <f>IF($C61="","",IFERROR(INDEX(Setup!$D$4:$D$28,MATCH($C61,Setup!$C$4:$C$28,0)),"CHECK"))</f>
        <v/>
      </c>
      <c r="G61" s="51">
        <f>IF($A61="","",MONTH($A61))</f>
        <v/>
      </c>
    </row>
    <row r="62">
      <c r="A62" s="53" t="n"/>
      <c r="B62" s="43" t="n"/>
      <c r="C62" s="43" t="n"/>
      <c r="D62" s="54" t="n"/>
      <c r="E62" s="55" t="n"/>
      <c r="F62" s="34">
        <f>IF($C62="","",IFERROR(INDEX(Setup!$D$4:$D$28,MATCH($C62,Setup!$C$4:$C$28,0)),"CHECK"))</f>
        <v/>
      </c>
      <c r="G62" s="56">
        <f>IF($A62="","",MONTH($A62))</f>
        <v/>
      </c>
    </row>
    <row r="63">
      <c r="A63" s="48" t="n"/>
      <c r="B63" s="39" t="n"/>
      <c r="C63" s="39" t="n"/>
      <c r="D63" s="49" t="n"/>
      <c r="E63" s="50" t="n"/>
      <c r="F63" s="33">
        <f>IF($C63="","",IFERROR(INDEX(Setup!$D$4:$D$28,MATCH($C63,Setup!$C$4:$C$28,0)),"CHECK"))</f>
        <v/>
      </c>
      <c r="G63" s="51">
        <f>IF($A63="","",MONTH($A63))</f>
        <v/>
      </c>
    </row>
    <row r="64">
      <c r="A64" s="53" t="n"/>
      <c r="B64" s="43" t="n"/>
      <c r="C64" s="43" t="n"/>
      <c r="D64" s="54" t="n"/>
      <c r="E64" s="55" t="n"/>
      <c r="F64" s="34">
        <f>IF($C64="","",IFERROR(INDEX(Setup!$D$4:$D$28,MATCH($C64,Setup!$C$4:$C$28,0)),"CHECK"))</f>
        <v/>
      </c>
      <c r="G64" s="56">
        <f>IF($A64="","",MONTH($A64))</f>
        <v/>
      </c>
    </row>
    <row r="65">
      <c r="A65" s="48" t="n"/>
      <c r="B65" s="39" t="n"/>
      <c r="C65" s="39" t="n"/>
      <c r="D65" s="49" t="n"/>
      <c r="E65" s="50" t="n"/>
      <c r="F65" s="33">
        <f>IF($C65="","",IFERROR(INDEX(Setup!$D$4:$D$28,MATCH($C65,Setup!$C$4:$C$28,0)),"CHECK"))</f>
        <v/>
      </c>
      <c r="G65" s="51">
        <f>IF($A65="","",MONTH($A65))</f>
        <v/>
      </c>
    </row>
    <row r="66">
      <c r="A66" s="53" t="n"/>
      <c r="B66" s="43" t="n"/>
      <c r="C66" s="43" t="n"/>
      <c r="D66" s="54" t="n"/>
      <c r="E66" s="55" t="n"/>
      <c r="F66" s="34">
        <f>IF($C66="","",IFERROR(INDEX(Setup!$D$4:$D$28,MATCH($C66,Setup!$C$4:$C$28,0)),"CHECK"))</f>
        <v/>
      </c>
      <c r="G66" s="56">
        <f>IF($A66="","",MONTH($A66))</f>
        <v/>
      </c>
    </row>
    <row r="67">
      <c r="A67" s="48" t="n"/>
      <c r="B67" s="39" t="n"/>
      <c r="C67" s="39" t="n"/>
      <c r="D67" s="49" t="n"/>
      <c r="E67" s="50" t="n"/>
      <c r="F67" s="33">
        <f>IF($C67="","",IFERROR(INDEX(Setup!$D$4:$D$28,MATCH($C67,Setup!$C$4:$C$28,0)),"CHECK"))</f>
        <v/>
      </c>
      <c r="G67" s="51">
        <f>IF($A67="","",MONTH($A67))</f>
        <v/>
      </c>
    </row>
    <row r="68">
      <c r="A68" s="53" t="n"/>
      <c r="B68" s="43" t="n"/>
      <c r="C68" s="43" t="n"/>
      <c r="D68" s="54" t="n"/>
      <c r="E68" s="55" t="n"/>
      <c r="F68" s="34">
        <f>IF($C68="","",IFERROR(INDEX(Setup!$D$4:$D$28,MATCH($C68,Setup!$C$4:$C$28,0)),"CHECK"))</f>
        <v/>
      </c>
      <c r="G68" s="56">
        <f>IF($A68="","",MONTH($A68))</f>
        <v/>
      </c>
    </row>
    <row r="69">
      <c r="A69" s="48" t="n"/>
      <c r="B69" s="39" t="n"/>
      <c r="C69" s="39" t="n"/>
      <c r="D69" s="49" t="n"/>
      <c r="E69" s="50" t="n"/>
      <c r="F69" s="33">
        <f>IF($C69="","",IFERROR(INDEX(Setup!$D$4:$D$28,MATCH($C69,Setup!$C$4:$C$28,0)),"CHECK"))</f>
        <v/>
      </c>
      <c r="G69" s="51">
        <f>IF($A69="","",MONTH($A69))</f>
        <v/>
      </c>
    </row>
    <row r="70">
      <c r="A70" s="53" t="n"/>
      <c r="B70" s="43" t="n"/>
      <c r="C70" s="43" t="n"/>
      <c r="D70" s="54" t="n"/>
      <c r="E70" s="55" t="n"/>
      <c r="F70" s="34">
        <f>IF($C70="","",IFERROR(INDEX(Setup!$D$4:$D$28,MATCH($C70,Setup!$C$4:$C$28,0)),"CHECK"))</f>
        <v/>
      </c>
      <c r="G70" s="56">
        <f>IF($A70="","",MONTH($A70))</f>
        <v/>
      </c>
    </row>
    <row r="71">
      <c r="A71" s="48" t="n"/>
      <c r="B71" s="39" t="n"/>
      <c r="C71" s="39" t="n"/>
      <c r="D71" s="49" t="n"/>
      <c r="E71" s="50" t="n"/>
      <c r="F71" s="33">
        <f>IF($C71="","",IFERROR(INDEX(Setup!$D$4:$D$28,MATCH($C71,Setup!$C$4:$C$28,0)),"CHECK"))</f>
        <v/>
      </c>
      <c r="G71" s="51">
        <f>IF($A71="","",MONTH($A71))</f>
        <v/>
      </c>
    </row>
    <row r="72">
      <c r="A72" s="53" t="n"/>
      <c r="B72" s="43" t="n"/>
      <c r="C72" s="43" t="n"/>
      <c r="D72" s="54" t="n"/>
      <c r="E72" s="55" t="n"/>
      <c r="F72" s="34">
        <f>IF($C72="","",IFERROR(INDEX(Setup!$D$4:$D$28,MATCH($C72,Setup!$C$4:$C$28,0)),"CHECK"))</f>
        <v/>
      </c>
      <c r="G72" s="56">
        <f>IF($A72="","",MONTH($A72))</f>
        <v/>
      </c>
    </row>
    <row r="73">
      <c r="A73" s="48" t="n"/>
      <c r="B73" s="39" t="n"/>
      <c r="C73" s="39" t="n"/>
      <c r="D73" s="49" t="n"/>
      <c r="E73" s="50" t="n"/>
      <c r="F73" s="33">
        <f>IF($C73="","",IFERROR(INDEX(Setup!$D$4:$D$28,MATCH($C73,Setup!$C$4:$C$28,0)),"CHECK"))</f>
        <v/>
      </c>
      <c r="G73" s="51">
        <f>IF($A73="","",MONTH($A73))</f>
        <v/>
      </c>
    </row>
    <row r="74">
      <c r="A74" s="53" t="n"/>
      <c r="B74" s="43" t="n"/>
      <c r="C74" s="43" t="n"/>
      <c r="D74" s="54" t="n"/>
      <c r="E74" s="55" t="n"/>
      <c r="F74" s="34">
        <f>IF($C74="","",IFERROR(INDEX(Setup!$D$4:$D$28,MATCH($C74,Setup!$C$4:$C$28,0)),"CHECK"))</f>
        <v/>
      </c>
      <c r="G74" s="56">
        <f>IF($A74="","",MONTH($A74))</f>
        <v/>
      </c>
    </row>
    <row r="75">
      <c r="A75" s="48" t="n"/>
      <c r="B75" s="39" t="n"/>
      <c r="C75" s="39" t="n"/>
      <c r="D75" s="49" t="n"/>
      <c r="E75" s="50" t="n"/>
      <c r="F75" s="33">
        <f>IF($C75="","",IFERROR(INDEX(Setup!$D$4:$D$28,MATCH($C75,Setup!$C$4:$C$28,0)),"CHECK"))</f>
        <v/>
      </c>
      <c r="G75" s="51">
        <f>IF($A75="","",MONTH($A75))</f>
        <v/>
      </c>
    </row>
    <row r="76">
      <c r="A76" s="53" t="n"/>
      <c r="B76" s="43" t="n"/>
      <c r="C76" s="43" t="n"/>
      <c r="D76" s="54" t="n"/>
      <c r="E76" s="55" t="n"/>
      <c r="F76" s="34">
        <f>IF($C76="","",IFERROR(INDEX(Setup!$D$4:$D$28,MATCH($C76,Setup!$C$4:$C$28,0)),"CHECK"))</f>
        <v/>
      </c>
      <c r="G76" s="56">
        <f>IF($A76="","",MONTH($A76))</f>
        <v/>
      </c>
    </row>
    <row r="77">
      <c r="A77" s="48" t="n"/>
      <c r="B77" s="39" t="n"/>
      <c r="C77" s="39" t="n"/>
      <c r="D77" s="49" t="n"/>
      <c r="E77" s="50" t="n"/>
      <c r="F77" s="33">
        <f>IF($C77="","",IFERROR(INDEX(Setup!$D$4:$D$28,MATCH($C77,Setup!$C$4:$C$28,0)),"CHECK"))</f>
        <v/>
      </c>
      <c r="G77" s="51">
        <f>IF($A77="","",MONTH($A77))</f>
        <v/>
      </c>
    </row>
    <row r="78">
      <c r="A78" s="53" t="n"/>
      <c r="B78" s="43" t="n"/>
      <c r="C78" s="43" t="n"/>
      <c r="D78" s="54" t="n"/>
      <c r="E78" s="55" t="n"/>
      <c r="F78" s="34">
        <f>IF($C78="","",IFERROR(INDEX(Setup!$D$4:$D$28,MATCH($C78,Setup!$C$4:$C$28,0)),"CHECK"))</f>
        <v/>
      </c>
      <c r="G78" s="56">
        <f>IF($A78="","",MONTH($A78))</f>
        <v/>
      </c>
    </row>
    <row r="79">
      <c r="A79" s="48" t="n"/>
      <c r="B79" s="39" t="n"/>
      <c r="C79" s="39" t="n"/>
      <c r="D79" s="49" t="n"/>
      <c r="E79" s="50" t="n"/>
      <c r="F79" s="33">
        <f>IF($C79="","",IFERROR(INDEX(Setup!$D$4:$D$28,MATCH($C79,Setup!$C$4:$C$28,0)),"CHECK"))</f>
        <v/>
      </c>
      <c r="G79" s="51">
        <f>IF($A79="","",MONTH($A79))</f>
        <v/>
      </c>
    </row>
    <row r="80">
      <c r="A80" s="53" t="n"/>
      <c r="B80" s="43" t="n"/>
      <c r="C80" s="43" t="n"/>
      <c r="D80" s="54" t="n"/>
      <c r="E80" s="55" t="n"/>
      <c r="F80" s="34">
        <f>IF($C80="","",IFERROR(INDEX(Setup!$D$4:$D$28,MATCH($C80,Setup!$C$4:$C$28,0)),"CHECK"))</f>
        <v/>
      </c>
      <c r="G80" s="56">
        <f>IF($A80="","",MONTH($A80))</f>
        <v/>
      </c>
    </row>
    <row r="81">
      <c r="A81" s="48" t="n"/>
      <c r="B81" s="39" t="n"/>
      <c r="C81" s="39" t="n"/>
      <c r="D81" s="49" t="n"/>
      <c r="E81" s="50" t="n"/>
      <c r="F81" s="33">
        <f>IF($C81="","",IFERROR(INDEX(Setup!$D$4:$D$28,MATCH($C81,Setup!$C$4:$C$28,0)),"CHECK"))</f>
        <v/>
      </c>
      <c r="G81" s="51">
        <f>IF($A81="","",MONTH($A81))</f>
        <v/>
      </c>
    </row>
    <row r="82">
      <c r="A82" s="53" t="n"/>
      <c r="B82" s="43" t="n"/>
      <c r="C82" s="43" t="n"/>
      <c r="D82" s="54" t="n"/>
      <c r="E82" s="55" t="n"/>
      <c r="F82" s="34">
        <f>IF($C82="","",IFERROR(INDEX(Setup!$D$4:$D$28,MATCH($C82,Setup!$C$4:$C$28,0)),"CHECK"))</f>
        <v/>
      </c>
      <c r="G82" s="56">
        <f>IF($A82="","",MONTH($A82))</f>
        <v/>
      </c>
    </row>
    <row r="83">
      <c r="A83" s="48" t="n"/>
      <c r="B83" s="39" t="n"/>
      <c r="C83" s="39" t="n"/>
      <c r="D83" s="49" t="n"/>
      <c r="E83" s="50" t="n"/>
      <c r="F83" s="33">
        <f>IF($C83="","",IFERROR(INDEX(Setup!$D$4:$D$28,MATCH($C83,Setup!$C$4:$C$28,0)),"CHECK"))</f>
        <v/>
      </c>
      <c r="G83" s="51">
        <f>IF($A83="","",MONTH($A83))</f>
        <v/>
      </c>
    </row>
    <row r="84">
      <c r="A84" s="53" t="n"/>
      <c r="B84" s="43" t="n"/>
      <c r="C84" s="43" t="n"/>
      <c r="D84" s="54" t="n"/>
      <c r="E84" s="55" t="n"/>
      <c r="F84" s="34">
        <f>IF($C84="","",IFERROR(INDEX(Setup!$D$4:$D$28,MATCH($C84,Setup!$C$4:$C$28,0)),"CHECK"))</f>
        <v/>
      </c>
      <c r="G84" s="56">
        <f>IF($A84="","",MONTH($A84))</f>
        <v/>
      </c>
    </row>
    <row r="85">
      <c r="A85" s="48" t="n"/>
      <c r="B85" s="39" t="n"/>
      <c r="C85" s="39" t="n"/>
      <c r="D85" s="49" t="n"/>
      <c r="E85" s="50" t="n"/>
      <c r="F85" s="33">
        <f>IF($C85="","",IFERROR(INDEX(Setup!$D$4:$D$28,MATCH($C85,Setup!$C$4:$C$28,0)),"CHECK"))</f>
        <v/>
      </c>
      <c r="G85" s="51">
        <f>IF($A85="","",MONTH($A85))</f>
        <v/>
      </c>
    </row>
    <row r="86">
      <c r="A86" s="53" t="n"/>
      <c r="B86" s="43" t="n"/>
      <c r="C86" s="43" t="n"/>
      <c r="D86" s="54" t="n"/>
      <c r="E86" s="55" t="n"/>
      <c r="F86" s="34">
        <f>IF($C86="","",IFERROR(INDEX(Setup!$D$4:$D$28,MATCH($C86,Setup!$C$4:$C$28,0)),"CHECK"))</f>
        <v/>
      </c>
      <c r="G86" s="56">
        <f>IF($A86="","",MONTH($A86))</f>
        <v/>
      </c>
    </row>
    <row r="87">
      <c r="A87" s="48" t="n"/>
      <c r="B87" s="39" t="n"/>
      <c r="C87" s="39" t="n"/>
      <c r="D87" s="49" t="n"/>
      <c r="E87" s="50" t="n"/>
      <c r="F87" s="33">
        <f>IF($C87="","",IFERROR(INDEX(Setup!$D$4:$D$28,MATCH($C87,Setup!$C$4:$C$28,0)),"CHECK"))</f>
        <v/>
      </c>
      <c r="G87" s="51">
        <f>IF($A87="","",MONTH($A87))</f>
        <v/>
      </c>
    </row>
    <row r="88">
      <c r="A88" s="53" t="n"/>
      <c r="B88" s="43" t="n"/>
      <c r="C88" s="43" t="n"/>
      <c r="D88" s="54" t="n"/>
      <c r="E88" s="55" t="n"/>
      <c r="F88" s="34">
        <f>IF($C88="","",IFERROR(INDEX(Setup!$D$4:$D$28,MATCH($C88,Setup!$C$4:$C$28,0)),"CHECK"))</f>
        <v/>
      </c>
      <c r="G88" s="56">
        <f>IF($A88="","",MONTH($A88))</f>
        <v/>
      </c>
    </row>
    <row r="89">
      <c r="A89" s="48" t="n"/>
      <c r="B89" s="39" t="n"/>
      <c r="C89" s="39" t="n"/>
      <c r="D89" s="49" t="n"/>
      <c r="E89" s="50" t="n"/>
      <c r="F89" s="33">
        <f>IF($C89="","",IFERROR(INDEX(Setup!$D$4:$D$28,MATCH($C89,Setup!$C$4:$C$28,0)),"CHECK"))</f>
        <v/>
      </c>
      <c r="G89" s="51">
        <f>IF($A89="","",MONTH($A89))</f>
        <v/>
      </c>
    </row>
    <row r="90">
      <c r="A90" s="53" t="n"/>
      <c r="B90" s="43" t="n"/>
      <c r="C90" s="43" t="n"/>
      <c r="D90" s="54" t="n"/>
      <c r="E90" s="55" t="n"/>
      <c r="F90" s="34">
        <f>IF($C90="","",IFERROR(INDEX(Setup!$D$4:$D$28,MATCH($C90,Setup!$C$4:$C$28,0)),"CHECK"))</f>
        <v/>
      </c>
      <c r="G90" s="56">
        <f>IF($A90="","",MONTH($A90))</f>
        <v/>
      </c>
    </row>
    <row r="91">
      <c r="A91" s="48" t="n"/>
      <c r="B91" s="39" t="n"/>
      <c r="C91" s="39" t="n"/>
      <c r="D91" s="49" t="n"/>
      <c r="E91" s="50" t="n"/>
      <c r="F91" s="33">
        <f>IF($C91="","",IFERROR(INDEX(Setup!$D$4:$D$28,MATCH($C91,Setup!$C$4:$C$28,0)),"CHECK"))</f>
        <v/>
      </c>
      <c r="G91" s="51">
        <f>IF($A91="","",MONTH($A91))</f>
        <v/>
      </c>
    </row>
    <row r="92">
      <c r="A92" s="53" t="n"/>
      <c r="B92" s="43" t="n"/>
      <c r="C92" s="43" t="n"/>
      <c r="D92" s="54" t="n"/>
      <c r="E92" s="55" t="n"/>
      <c r="F92" s="34">
        <f>IF($C92="","",IFERROR(INDEX(Setup!$D$4:$D$28,MATCH($C92,Setup!$C$4:$C$28,0)),"CHECK"))</f>
        <v/>
      </c>
      <c r="G92" s="56">
        <f>IF($A92="","",MONTH($A92))</f>
        <v/>
      </c>
    </row>
    <row r="93">
      <c r="A93" s="48" t="n"/>
      <c r="B93" s="39" t="n"/>
      <c r="C93" s="39" t="n"/>
      <c r="D93" s="49" t="n"/>
      <c r="E93" s="50" t="n"/>
      <c r="F93" s="33">
        <f>IF($C93="","",IFERROR(INDEX(Setup!$D$4:$D$28,MATCH($C93,Setup!$C$4:$C$28,0)),"CHECK"))</f>
        <v/>
      </c>
      <c r="G93" s="51">
        <f>IF($A93="","",MONTH($A93))</f>
        <v/>
      </c>
    </row>
    <row r="94">
      <c r="A94" s="53" t="n"/>
      <c r="B94" s="43" t="n"/>
      <c r="C94" s="43" t="n"/>
      <c r="D94" s="54" t="n"/>
      <c r="E94" s="55" t="n"/>
      <c r="F94" s="34">
        <f>IF($C94="","",IFERROR(INDEX(Setup!$D$4:$D$28,MATCH($C94,Setup!$C$4:$C$28,0)),"CHECK"))</f>
        <v/>
      </c>
      <c r="G94" s="56">
        <f>IF($A94="","",MONTH($A94))</f>
        <v/>
      </c>
    </row>
    <row r="95">
      <c r="A95" s="48" t="n"/>
      <c r="B95" s="39" t="n"/>
      <c r="C95" s="39" t="n"/>
      <c r="D95" s="49" t="n"/>
      <c r="E95" s="50" t="n"/>
      <c r="F95" s="33">
        <f>IF($C95="","",IFERROR(INDEX(Setup!$D$4:$D$28,MATCH($C95,Setup!$C$4:$C$28,0)),"CHECK"))</f>
        <v/>
      </c>
      <c r="G95" s="51">
        <f>IF($A95="","",MONTH($A95))</f>
        <v/>
      </c>
    </row>
    <row r="96">
      <c r="A96" s="53" t="n"/>
      <c r="B96" s="43" t="n"/>
      <c r="C96" s="43" t="n"/>
      <c r="D96" s="54" t="n"/>
      <c r="E96" s="55" t="n"/>
      <c r="F96" s="34">
        <f>IF($C96="","",IFERROR(INDEX(Setup!$D$4:$D$28,MATCH($C96,Setup!$C$4:$C$28,0)),"CHECK"))</f>
        <v/>
      </c>
      <c r="G96" s="56">
        <f>IF($A96="","",MONTH($A96))</f>
        <v/>
      </c>
    </row>
    <row r="97">
      <c r="A97" s="48" t="n"/>
      <c r="B97" s="39" t="n"/>
      <c r="C97" s="39" t="n"/>
      <c r="D97" s="49" t="n"/>
      <c r="E97" s="50" t="n"/>
      <c r="F97" s="33">
        <f>IF($C97="","",IFERROR(INDEX(Setup!$D$4:$D$28,MATCH($C97,Setup!$C$4:$C$28,0)),"CHECK"))</f>
        <v/>
      </c>
      <c r="G97" s="51">
        <f>IF($A97="","",MONTH($A97))</f>
        <v/>
      </c>
    </row>
    <row r="98">
      <c r="A98" s="53" t="n"/>
      <c r="B98" s="43" t="n"/>
      <c r="C98" s="43" t="n"/>
      <c r="D98" s="54" t="n"/>
      <c r="E98" s="55" t="n"/>
      <c r="F98" s="34">
        <f>IF($C98="","",IFERROR(INDEX(Setup!$D$4:$D$28,MATCH($C98,Setup!$C$4:$C$28,0)),"CHECK"))</f>
        <v/>
      </c>
      <c r="G98" s="56">
        <f>IF($A98="","",MONTH($A98))</f>
        <v/>
      </c>
    </row>
    <row r="99">
      <c r="A99" s="48" t="n"/>
      <c r="B99" s="39" t="n"/>
      <c r="C99" s="39" t="n"/>
      <c r="D99" s="49" t="n"/>
      <c r="E99" s="50" t="n"/>
      <c r="F99" s="33">
        <f>IF($C99="","",IFERROR(INDEX(Setup!$D$4:$D$28,MATCH($C99,Setup!$C$4:$C$28,0)),"CHECK"))</f>
        <v/>
      </c>
      <c r="G99" s="51">
        <f>IF($A99="","",MONTH($A99))</f>
        <v/>
      </c>
    </row>
    <row r="100">
      <c r="A100" s="53" t="n"/>
      <c r="B100" s="43" t="n"/>
      <c r="C100" s="43" t="n"/>
      <c r="D100" s="54" t="n"/>
      <c r="E100" s="55" t="n"/>
      <c r="F100" s="34">
        <f>IF($C100="","",IFERROR(INDEX(Setup!$D$4:$D$28,MATCH($C100,Setup!$C$4:$C$28,0)),"CHECK"))</f>
        <v/>
      </c>
      <c r="G100" s="56">
        <f>IF($A100="","",MONTH($A100))</f>
        <v/>
      </c>
    </row>
    <row r="101">
      <c r="A101" s="48" t="n"/>
      <c r="B101" s="39" t="n"/>
      <c r="C101" s="39" t="n"/>
      <c r="D101" s="49" t="n"/>
      <c r="E101" s="50" t="n"/>
      <c r="F101" s="33">
        <f>IF($C101="","",IFERROR(INDEX(Setup!$D$4:$D$28,MATCH($C101,Setup!$C$4:$C$28,0)),"CHECK"))</f>
        <v/>
      </c>
      <c r="G101" s="51">
        <f>IF($A101="","",MONTH($A101))</f>
        <v/>
      </c>
    </row>
    <row r="102">
      <c r="A102" s="53" t="n"/>
      <c r="B102" s="43" t="n"/>
      <c r="C102" s="43" t="n"/>
      <c r="D102" s="54" t="n"/>
      <c r="E102" s="55" t="n"/>
      <c r="F102" s="34">
        <f>IF($C102="","",IFERROR(INDEX(Setup!$D$4:$D$28,MATCH($C102,Setup!$C$4:$C$28,0)),"CHECK"))</f>
        <v/>
      </c>
      <c r="G102" s="56">
        <f>IF($A102="","",MONTH($A102))</f>
        <v/>
      </c>
    </row>
    <row r="103">
      <c r="A103" s="48" t="n"/>
      <c r="B103" s="39" t="n"/>
      <c r="C103" s="39" t="n"/>
      <c r="D103" s="49" t="n"/>
      <c r="E103" s="50" t="n"/>
      <c r="F103" s="33">
        <f>IF($C103="","",IFERROR(INDEX(Setup!$D$4:$D$28,MATCH($C103,Setup!$C$4:$C$28,0)),"CHECK"))</f>
        <v/>
      </c>
      <c r="G103" s="51">
        <f>IF($A103="","",MONTH($A103))</f>
        <v/>
      </c>
    </row>
    <row r="104">
      <c r="A104" s="53" t="n"/>
      <c r="B104" s="43" t="n"/>
      <c r="C104" s="43" t="n"/>
      <c r="D104" s="54" t="n"/>
      <c r="E104" s="55" t="n"/>
      <c r="F104" s="34">
        <f>IF($C104="","",IFERROR(INDEX(Setup!$D$4:$D$28,MATCH($C104,Setup!$C$4:$C$28,0)),"CHECK"))</f>
        <v/>
      </c>
      <c r="G104" s="56">
        <f>IF($A104="","",MONTH($A104))</f>
        <v/>
      </c>
    </row>
    <row r="105">
      <c r="A105" s="48" t="n"/>
      <c r="B105" s="39" t="n"/>
      <c r="C105" s="39" t="n"/>
      <c r="D105" s="49" t="n"/>
      <c r="E105" s="50" t="n"/>
      <c r="F105" s="33">
        <f>IF($C105="","",IFERROR(INDEX(Setup!$D$4:$D$28,MATCH($C105,Setup!$C$4:$C$28,0)),"CHECK"))</f>
        <v/>
      </c>
      <c r="G105" s="51">
        <f>IF($A105="","",MONTH($A105))</f>
        <v/>
      </c>
    </row>
    <row r="106">
      <c r="A106" s="53" t="n"/>
      <c r="B106" s="43" t="n"/>
      <c r="C106" s="43" t="n"/>
      <c r="D106" s="54" t="n"/>
      <c r="E106" s="55" t="n"/>
      <c r="F106" s="34">
        <f>IF($C106="","",IFERROR(INDEX(Setup!$D$4:$D$28,MATCH($C106,Setup!$C$4:$C$28,0)),"CHECK"))</f>
        <v/>
      </c>
      <c r="G106" s="56">
        <f>IF($A106="","",MONTH($A106))</f>
        <v/>
      </c>
    </row>
    <row r="107">
      <c r="A107" s="48" t="n"/>
      <c r="B107" s="39" t="n"/>
      <c r="C107" s="39" t="n"/>
      <c r="D107" s="49" t="n"/>
      <c r="E107" s="50" t="n"/>
      <c r="F107" s="33">
        <f>IF($C107="","",IFERROR(INDEX(Setup!$D$4:$D$28,MATCH($C107,Setup!$C$4:$C$28,0)),"CHECK"))</f>
        <v/>
      </c>
      <c r="G107" s="51">
        <f>IF($A107="","",MONTH($A107))</f>
        <v/>
      </c>
    </row>
    <row r="108">
      <c r="A108" s="53" t="n"/>
      <c r="B108" s="43" t="n"/>
      <c r="C108" s="43" t="n"/>
      <c r="D108" s="54" t="n"/>
      <c r="E108" s="55" t="n"/>
      <c r="F108" s="34">
        <f>IF($C108="","",IFERROR(INDEX(Setup!$D$4:$D$28,MATCH($C108,Setup!$C$4:$C$28,0)),"CHECK"))</f>
        <v/>
      </c>
      <c r="G108" s="56">
        <f>IF($A108="","",MONTH($A108))</f>
        <v/>
      </c>
    </row>
    <row r="109">
      <c r="A109" s="48" t="n"/>
      <c r="B109" s="39" t="n"/>
      <c r="C109" s="39" t="n"/>
      <c r="D109" s="49" t="n"/>
      <c r="E109" s="50" t="n"/>
      <c r="F109" s="33">
        <f>IF($C109="","",IFERROR(INDEX(Setup!$D$4:$D$28,MATCH($C109,Setup!$C$4:$C$28,0)),"CHECK"))</f>
        <v/>
      </c>
      <c r="G109" s="51">
        <f>IF($A109="","",MONTH($A109))</f>
        <v/>
      </c>
    </row>
    <row r="110">
      <c r="A110" s="53" t="n"/>
      <c r="B110" s="43" t="n"/>
      <c r="C110" s="43" t="n"/>
      <c r="D110" s="54" t="n"/>
      <c r="E110" s="55" t="n"/>
      <c r="F110" s="34">
        <f>IF($C110="","",IFERROR(INDEX(Setup!$D$4:$D$28,MATCH($C110,Setup!$C$4:$C$28,0)),"CHECK"))</f>
        <v/>
      </c>
      <c r="G110" s="56">
        <f>IF($A110="","",MONTH($A110))</f>
        <v/>
      </c>
    </row>
    <row r="111">
      <c r="A111" s="48" t="n"/>
      <c r="B111" s="39" t="n"/>
      <c r="C111" s="39" t="n"/>
      <c r="D111" s="49" t="n"/>
      <c r="E111" s="50" t="n"/>
      <c r="F111" s="33">
        <f>IF($C111="","",IFERROR(INDEX(Setup!$D$4:$D$28,MATCH($C111,Setup!$C$4:$C$28,0)),"CHECK"))</f>
        <v/>
      </c>
      <c r="G111" s="51">
        <f>IF($A111="","",MONTH($A111))</f>
        <v/>
      </c>
    </row>
    <row r="112">
      <c r="A112" s="53" t="n"/>
      <c r="B112" s="43" t="n"/>
      <c r="C112" s="43" t="n"/>
      <c r="D112" s="54" t="n"/>
      <c r="E112" s="55" t="n"/>
      <c r="F112" s="34">
        <f>IF($C112="","",IFERROR(INDEX(Setup!$D$4:$D$28,MATCH($C112,Setup!$C$4:$C$28,0)),"CHECK"))</f>
        <v/>
      </c>
      <c r="G112" s="56">
        <f>IF($A112="","",MONTH($A112))</f>
        <v/>
      </c>
    </row>
    <row r="113">
      <c r="A113" s="48" t="n"/>
      <c r="B113" s="39" t="n"/>
      <c r="C113" s="39" t="n"/>
      <c r="D113" s="49" t="n"/>
      <c r="E113" s="50" t="n"/>
      <c r="F113" s="33">
        <f>IF($C113="","",IFERROR(INDEX(Setup!$D$4:$D$28,MATCH($C113,Setup!$C$4:$C$28,0)),"CHECK"))</f>
        <v/>
      </c>
      <c r="G113" s="51">
        <f>IF($A113="","",MONTH($A113))</f>
        <v/>
      </c>
    </row>
    <row r="114">
      <c r="A114" s="53" t="n"/>
      <c r="B114" s="43" t="n"/>
      <c r="C114" s="43" t="n"/>
      <c r="D114" s="54" t="n"/>
      <c r="E114" s="55" t="n"/>
      <c r="F114" s="34">
        <f>IF($C114="","",IFERROR(INDEX(Setup!$D$4:$D$28,MATCH($C114,Setup!$C$4:$C$28,0)),"CHECK"))</f>
        <v/>
      </c>
      <c r="G114" s="56">
        <f>IF($A114="","",MONTH($A114))</f>
        <v/>
      </c>
    </row>
    <row r="115">
      <c r="A115" s="48" t="n"/>
      <c r="B115" s="39" t="n"/>
      <c r="C115" s="39" t="n"/>
      <c r="D115" s="49" t="n"/>
      <c r="E115" s="50" t="n"/>
      <c r="F115" s="33">
        <f>IF($C115="","",IFERROR(INDEX(Setup!$D$4:$D$28,MATCH($C115,Setup!$C$4:$C$28,0)),"CHECK"))</f>
        <v/>
      </c>
      <c r="G115" s="51">
        <f>IF($A115="","",MONTH($A115))</f>
        <v/>
      </c>
    </row>
    <row r="116">
      <c r="A116" s="53" t="n"/>
      <c r="B116" s="43" t="n"/>
      <c r="C116" s="43" t="n"/>
      <c r="D116" s="54" t="n"/>
      <c r="E116" s="55" t="n"/>
      <c r="F116" s="34">
        <f>IF($C116="","",IFERROR(INDEX(Setup!$D$4:$D$28,MATCH($C116,Setup!$C$4:$C$28,0)),"CHECK"))</f>
        <v/>
      </c>
      <c r="G116" s="56">
        <f>IF($A116="","",MONTH($A116))</f>
        <v/>
      </c>
    </row>
    <row r="117">
      <c r="A117" s="48" t="n"/>
      <c r="B117" s="39" t="n"/>
      <c r="C117" s="39" t="n"/>
      <c r="D117" s="49" t="n"/>
      <c r="E117" s="50" t="n"/>
      <c r="F117" s="33">
        <f>IF($C117="","",IFERROR(INDEX(Setup!$D$4:$D$28,MATCH($C117,Setup!$C$4:$C$28,0)),"CHECK"))</f>
        <v/>
      </c>
      <c r="G117" s="51">
        <f>IF($A117="","",MONTH($A117))</f>
        <v/>
      </c>
    </row>
    <row r="118">
      <c r="A118" s="53" t="n"/>
      <c r="B118" s="43" t="n"/>
      <c r="C118" s="43" t="n"/>
      <c r="D118" s="54" t="n"/>
      <c r="E118" s="55" t="n"/>
      <c r="F118" s="34">
        <f>IF($C118="","",IFERROR(INDEX(Setup!$D$4:$D$28,MATCH($C118,Setup!$C$4:$C$28,0)),"CHECK"))</f>
        <v/>
      </c>
      <c r="G118" s="56">
        <f>IF($A118="","",MONTH($A118))</f>
        <v/>
      </c>
    </row>
    <row r="119">
      <c r="A119" s="48" t="n"/>
      <c r="B119" s="39" t="n"/>
      <c r="C119" s="39" t="n"/>
      <c r="D119" s="49" t="n"/>
      <c r="E119" s="50" t="n"/>
      <c r="F119" s="33">
        <f>IF($C119="","",IFERROR(INDEX(Setup!$D$4:$D$28,MATCH($C119,Setup!$C$4:$C$28,0)),"CHECK"))</f>
        <v/>
      </c>
      <c r="G119" s="51">
        <f>IF($A119="","",MONTH($A119))</f>
        <v/>
      </c>
    </row>
    <row r="120">
      <c r="A120" s="53" t="n"/>
      <c r="B120" s="43" t="n"/>
      <c r="C120" s="43" t="n"/>
      <c r="D120" s="54" t="n"/>
      <c r="E120" s="55" t="n"/>
      <c r="F120" s="34">
        <f>IF($C120="","",IFERROR(INDEX(Setup!$D$4:$D$28,MATCH($C120,Setup!$C$4:$C$28,0)),"CHECK"))</f>
        <v/>
      </c>
      <c r="G120" s="56">
        <f>IF($A120="","",MONTH($A120))</f>
        <v/>
      </c>
    </row>
    <row r="121">
      <c r="A121" s="48" t="n"/>
      <c r="B121" s="39" t="n"/>
      <c r="C121" s="39" t="n"/>
      <c r="D121" s="49" t="n"/>
      <c r="E121" s="50" t="n"/>
      <c r="F121" s="33">
        <f>IF($C121="","",IFERROR(INDEX(Setup!$D$4:$D$28,MATCH($C121,Setup!$C$4:$C$28,0)),"CHECK"))</f>
        <v/>
      </c>
      <c r="G121" s="51">
        <f>IF($A121="","",MONTH($A121))</f>
        <v/>
      </c>
    </row>
    <row r="122">
      <c r="A122" s="53" t="n"/>
      <c r="B122" s="43" t="n"/>
      <c r="C122" s="43" t="n"/>
      <c r="D122" s="54" t="n"/>
      <c r="E122" s="55" t="n"/>
      <c r="F122" s="34">
        <f>IF($C122="","",IFERROR(INDEX(Setup!$D$4:$D$28,MATCH($C122,Setup!$C$4:$C$28,0)),"CHECK"))</f>
        <v/>
      </c>
      <c r="G122" s="56">
        <f>IF($A122="","",MONTH($A122))</f>
        <v/>
      </c>
    </row>
    <row r="123">
      <c r="A123" s="48" t="n"/>
      <c r="B123" s="39" t="n"/>
      <c r="C123" s="39" t="n"/>
      <c r="D123" s="49" t="n"/>
      <c r="E123" s="50" t="n"/>
      <c r="F123" s="33">
        <f>IF($C123="","",IFERROR(INDEX(Setup!$D$4:$D$28,MATCH($C123,Setup!$C$4:$C$28,0)),"CHECK"))</f>
        <v/>
      </c>
      <c r="G123" s="51">
        <f>IF($A123="","",MONTH($A123))</f>
        <v/>
      </c>
    </row>
    <row r="124">
      <c r="A124" s="53" t="n"/>
      <c r="B124" s="43" t="n"/>
      <c r="C124" s="43" t="n"/>
      <c r="D124" s="54" t="n"/>
      <c r="E124" s="55" t="n"/>
      <c r="F124" s="34">
        <f>IF($C124="","",IFERROR(INDEX(Setup!$D$4:$D$28,MATCH($C124,Setup!$C$4:$C$28,0)),"CHECK"))</f>
        <v/>
      </c>
      <c r="G124" s="56">
        <f>IF($A124="","",MONTH($A124))</f>
        <v/>
      </c>
    </row>
    <row r="125">
      <c r="A125" s="48" t="n"/>
      <c r="B125" s="39" t="n"/>
      <c r="C125" s="39" t="n"/>
      <c r="D125" s="49" t="n"/>
      <c r="E125" s="50" t="n"/>
      <c r="F125" s="33">
        <f>IF($C125="","",IFERROR(INDEX(Setup!$D$4:$D$28,MATCH($C125,Setup!$C$4:$C$28,0)),"CHECK"))</f>
        <v/>
      </c>
      <c r="G125" s="51">
        <f>IF($A125="","",MONTH($A125))</f>
        <v/>
      </c>
    </row>
    <row r="126">
      <c r="A126" s="53" t="n"/>
      <c r="B126" s="43" t="n"/>
      <c r="C126" s="43" t="n"/>
      <c r="D126" s="54" t="n"/>
      <c r="E126" s="55" t="n"/>
      <c r="F126" s="34">
        <f>IF($C126="","",IFERROR(INDEX(Setup!$D$4:$D$28,MATCH($C126,Setup!$C$4:$C$28,0)),"CHECK"))</f>
        <v/>
      </c>
      <c r="G126" s="56">
        <f>IF($A126="","",MONTH($A126))</f>
        <v/>
      </c>
    </row>
    <row r="127">
      <c r="A127" s="48" t="n"/>
      <c r="B127" s="39" t="n"/>
      <c r="C127" s="39" t="n"/>
      <c r="D127" s="49" t="n"/>
      <c r="E127" s="50" t="n"/>
      <c r="F127" s="33">
        <f>IF($C127="","",IFERROR(INDEX(Setup!$D$4:$D$28,MATCH($C127,Setup!$C$4:$C$28,0)),"CHECK"))</f>
        <v/>
      </c>
      <c r="G127" s="51">
        <f>IF($A127="","",MONTH($A127))</f>
        <v/>
      </c>
    </row>
    <row r="128">
      <c r="A128" s="53" t="n"/>
      <c r="B128" s="43" t="n"/>
      <c r="C128" s="43" t="n"/>
      <c r="D128" s="54" t="n"/>
      <c r="E128" s="55" t="n"/>
      <c r="F128" s="34">
        <f>IF($C128="","",IFERROR(INDEX(Setup!$D$4:$D$28,MATCH($C128,Setup!$C$4:$C$28,0)),"CHECK"))</f>
        <v/>
      </c>
      <c r="G128" s="56">
        <f>IF($A128="","",MONTH($A128))</f>
        <v/>
      </c>
    </row>
    <row r="129">
      <c r="A129" s="48" t="n"/>
      <c r="B129" s="39" t="n"/>
      <c r="C129" s="39" t="n"/>
      <c r="D129" s="49" t="n"/>
      <c r="E129" s="50" t="n"/>
      <c r="F129" s="33">
        <f>IF($C129="","",IFERROR(INDEX(Setup!$D$4:$D$28,MATCH($C129,Setup!$C$4:$C$28,0)),"CHECK"))</f>
        <v/>
      </c>
      <c r="G129" s="51">
        <f>IF($A129="","",MONTH($A129))</f>
        <v/>
      </c>
    </row>
    <row r="130">
      <c r="A130" s="53" t="n"/>
      <c r="B130" s="43" t="n"/>
      <c r="C130" s="43" t="n"/>
      <c r="D130" s="54" t="n"/>
      <c r="E130" s="55" t="n"/>
      <c r="F130" s="34">
        <f>IF($C130="","",IFERROR(INDEX(Setup!$D$4:$D$28,MATCH($C130,Setup!$C$4:$C$28,0)),"CHECK"))</f>
        <v/>
      </c>
      <c r="G130" s="56">
        <f>IF($A130="","",MONTH($A130))</f>
        <v/>
      </c>
    </row>
    <row r="131">
      <c r="A131" s="48" t="n"/>
      <c r="B131" s="39" t="n"/>
      <c r="C131" s="39" t="n"/>
      <c r="D131" s="49" t="n"/>
      <c r="E131" s="50" t="n"/>
      <c r="F131" s="33">
        <f>IF($C131="","",IFERROR(INDEX(Setup!$D$4:$D$28,MATCH($C131,Setup!$C$4:$C$28,0)),"CHECK"))</f>
        <v/>
      </c>
      <c r="G131" s="51">
        <f>IF($A131="","",MONTH($A131))</f>
        <v/>
      </c>
    </row>
    <row r="132">
      <c r="A132" s="53" t="n"/>
      <c r="B132" s="43" t="n"/>
      <c r="C132" s="43" t="n"/>
      <c r="D132" s="54" t="n"/>
      <c r="E132" s="55" t="n"/>
      <c r="F132" s="34">
        <f>IF($C132="","",IFERROR(INDEX(Setup!$D$4:$D$28,MATCH($C132,Setup!$C$4:$C$28,0)),"CHECK"))</f>
        <v/>
      </c>
      <c r="G132" s="56">
        <f>IF($A132="","",MONTH($A132))</f>
        <v/>
      </c>
    </row>
    <row r="133">
      <c r="A133" s="48" t="n"/>
      <c r="B133" s="39" t="n"/>
      <c r="C133" s="39" t="n"/>
      <c r="D133" s="49" t="n"/>
      <c r="E133" s="50" t="n"/>
      <c r="F133" s="33">
        <f>IF($C133="","",IFERROR(INDEX(Setup!$D$4:$D$28,MATCH($C133,Setup!$C$4:$C$28,0)),"CHECK"))</f>
        <v/>
      </c>
      <c r="G133" s="51">
        <f>IF($A133="","",MONTH($A133))</f>
        <v/>
      </c>
    </row>
    <row r="134">
      <c r="A134" s="53" t="n"/>
      <c r="B134" s="43" t="n"/>
      <c r="C134" s="43" t="n"/>
      <c r="D134" s="54" t="n"/>
      <c r="E134" s="55" t="n"/>
      <c r="F134" s="34">
        <f>IF($C134="","",IFERROR(INDEX(Setup!$D$4:$D$28,MATCH($C134,Setup!$C$4:$C$28,0)),"CHECK"))</f>
        <v/>
      </c>
      <c r="G134" s="56">
        <f>IF($A134="","",MONTH($A134))</f>
        <v/>
      </c>
    </row>
    <row r="135">
      <c r="A135" s="48" t="n"/>
      <c r="B135" s="39" t="n"/>
      <c r="C135" s="39" t="n"/>
      <c r="D135" s="49" t="n"/>
      <c r="E135" s="50" t="n"/>
      <c r="F135" s="33">
        <f>IF($C135="","",IFERROR(INDEX(Setup!$D$4:$D$28,MATCH($C135,Setup!$C$4:$C$28,0)),"CHECK"))</f>
        <v/>
      </c>
      <c r="G135" s="51">
        <f>IF($A135="","",MONTH($A135))</f>
        <v/>
      </c>
    </row>
    <row r="136">
      <c r="A136" s="53" t="n"/>
      <c r="B136" s="43" t="n"/>
      <c r="C136" s="43" t="n"/>
      <c r="D136" s="54" t="n"/>
      <c r="E136" s="55" t="n"/>
      <c r="F136" s="34">
        <f>IF($C136="","",IFERROR(INDEX(Setup!$D$4:$D$28,MATCH($C136,Setup!$C$4:$C$28,0)),"CHECK"))</f>
        <v/>
      </c>
      <c r="G136" s="56">
        <f>IF($A136="","",MONTH($A136))</f>
        <v/>
      </c>
    </row>
    <row r="137">
      <c r="A137" s="48" t="n"/>
      <c r="B137" s="39" t="n"/>
      <c r="C137" s="39" t="n"/>
      <c r="D137" s="49" t="n"/>
      <c r="E137" s="50" t="n"/>
      <c r="F137" s="33">
        <f>IF($C137="","",IFERROR(INDEX(Setup!$D$4:$D$28,MATCH($C137,Setup!$C$4:$C$28,0)),"CHECK"))</f>
        <v/>
      </c>
      <c r="G137" s="51">
        <f>IF($A137="","",MONTH($A137))</f>
        <v/>
      </c>
    </row>
    <row r="138">
      <c r="A138" s="53" t="n"/>
      <c r="B138" s="43" t="n"/>
      <c r="C138" s="43" t="n"/>
      <c r="D138" s="54" t="n"/>
      <c r="E138" s="55" t="n"/>
      <c r="F138" s="34">
        <f>IF($C138="","",IFERROR(INDEX(Setup!$D$4:$D$28,MATCH($C138,Setup!$C$4:$C$28,0)),"CHECK"))</f>
        <v/>
      </c>
      <c r="G138" s="56">
        <f>IF($A138="","",MONTH($A138))</f>
        <v/>
      </c>
    </row>
    <row r="139">
      <c r="A139" s="48" t="n"/>
      <c r="B139" s="39" t="n"/>
      <c r="C139" s="39" t="n"/>
      <c r="D139" s="49" t="n"/>
      <c r="E139" s="50" t="n"/>
      <c r="F139" s="33">
        <f>IF($C139="","",IFERROR(INDEX(Setup!$D$4:$D$28,MATCH($C139,Setup!$C$4:$C$28,0)),"CHECK"))</f>
        <v/>
      </c>
      <c r="G139" s="51">
        <f>IF($A139="","",MONTH($A139))</f>
        <v/>
      </c>
    </row>
    <row r="140">
      <c r="A140" s="53" t="n"/>
      <c r="B140" s="43" t="n"/>
      <c r="C140" s="43" t="n"/>
      <c r="D140" s="54" t="n"/>
      <c r="E140" s="55" t="n"/>
      <c r="F140" s="34">
        <f>IF($C140="","",IFERROR(INDEX(Setup!$D$4:$D$28,MATCH($C140,Setup!$C$4:$C$28,0)),"CHECK"))</f>
        <v/>
      </c>
      <c r="G140" s="56">
        <f>IF($A140="","",MONTH($A140))</f>
        <v/>
      </c>
    </row>
    <row r="141">
      <c r="A141" s="48" t="n"/>
      <c r="B141" s="39" t="n"/>
      <c r="C141" s="39" t="n"/>
      <c r="D141" s="49" t="n"/>
      <c r="E141" s="50" t="n"/>
      <c r="F141" s="33">
        <f>IF($C141="","",IFERROR(INDEX(Setup!$D$4:$D$28,MATCH($C141,Setup!$C$4:$C$28,0)),"CHECK"))</f>
        <v/>
      </c>
      <c r="G141" s="51">
        <f>IF($A141="","",MONTH($A141))</f>
        <v/>
      </c>
    </row>
    <row r="142">
      <c r="A142" s="53" t="n"/>
      <c r="B142" s="43" t="n"/>
      <c r="C142" s="43" t="n"/>
      <c r="D142" s="54" t="n"/>
      <c r="E142" s="55" t="n"/>
      <c r="F142" s="34">
        <f>IF($C142="","",IFERROR(INDEX(Setup!$D$4:$D$28,MATCH($C142,Setup!$C$4:$C$28,0)),"CHECK"))</f>
        <v/>
      </c>
      <c r="G142" s="56">
        <f>IF($A142="","",MONTH($A142))</f>
        <v/>
      </c>
    </row>
    <row r="143">
      <c r="A143" s="48" t="n"/>
      <c r="B143" s="39" t="n"/>
      <c r="C143" s="39" t="n"/>
      <c r="D143" s="49" t="n"/>
      <c r="E143" s="50" t="n"/>
      <c r="F143" s="33">
        <f>IF($C143="","",IFERROR(INDEX(Setup!$D$4:$D$28,MATCH($C143,Setup!$C$4:$C$28,0)),"CHECK"))</f>
        <v/>
      </c>
      <c r="G143" s="51">
        <f>IF($A143="","",MONTH($A143))</f>
        <v/>
      </c>
    </row>
    <row r="144">
      <c r="A144" s="53" t="n"/>
      <c r="B144" s="43" t="n"/>
      <c r="C144" s="43" t="n"/>
      <c r="D144" s="54" t="n"/>
      <c r="E144" s="55" t="n"/>
      <c r="F144" s="34">
        <f>IF($C144="","",IFERROR(INDEX(Setup!$D$4:$D$28,MATCH($C144,Setup!$C$4:$C$28,0)),"CHECK"))</f>
        <v/>
      </c>
      <c r="G144" s="56">
        <f>IF($A144="","",MONTH($A144))</f>
        <v/>
      </c>
    </row>
    <row r="145">
      <c r="A145" s="48" t="n"/>
      <c r="B145" s="39" t="n"/>
      <c r="C145" s="39" t="n"/>
      <c r="D145" s="49" t="n"/>
      <c r="E145" s="50" t="n"/>
      <c r="F145" s="33">
        <f>IF($C145="","",IFERROR(INDEX(Setup!$D$4:$D$28,MATCH($C145,Setup!$C$4:$C$28,0)),"CHECK"))</f>
        <v/>
      </c>
      <c r="G145" s="51">
        <f>IF($A145="","",MONTH($A145))</f>
        <v/>
      </c>
    </row>
    <row r="146">
      <c r="A146" s="53" t="n"/>
      <c r="B146" s="43" t="n"/>
      <c r="C146" s="43" t="n"/>
      <c r="D146" s="54" t="n"/>
      <c r="E146" s="55" t="n"/>
      <c r="F146" s="34">
        <f>IF($C146="","",IFERROR(INDEX(Setup!$D$4:$D$28,MATCH($C146,Setup!$C$4:$C$28,0)),"CHECK"))</f>
        <v/>
      </c>
      <c r="G146" s="56">
        <f>IF($A146="","",MONTH($A146))</f>
        <v/>
      </c>
    </row>
    <row r="147">
      <c r="A147" s="48" t="n"/>
      <c r="B147" s="39" t="n"/>
      <c r="C147" s="39" t="n"/>
      <c r="D147" s="49" t="n"/>
      <c r="E147" s="50" t="n"/>
      <c r="F147" s="33">
        <f>IF($C147="","",IFERROR(INDEX(Setup!$D$4:$D$28,MATCH($C147,Setup!$C$4:$C$28,0)),"CHECK"))</f>
        <v/>
      </c>
      <c r="G147" s="51">
        <f>IF($A147="","",MONTH($A147))</f>
        <v/>
      </c>
    </row>
    <row r="148">
      <c r="A148" s="53" t="n"/>
      <c r="B148" s="43" t="n"/>
      <c r="C148" s="43" t="n"/>
      <c r="D148" s="54" t="n"/>
      <c r="E148" s="55" t="n"/>
      <c r="F148" s="34">
        <f>IF($C148="","",IFERROR(INDEX(Setup!$D$4:$D$28,MATCH($C148,Setup!$C$4:$C$28,0)),"CHECK"))</f>
        <v/>
      </c>
      <c r="G148" s="56">
        <f>IF($A148="","",MONTH($A148))</f>
        <v/>
      </c>
    </row>
    <row r="149">
      <c r="A149" s="48" t="n"/>
      <c r="B149" s="39" t="n"/>
      <c r="C149" s="39" t="n"/>
      <c r="D149" s="49" t="n"/>
      <c r="E149" s="50" t="n"/>
      <c r="F149" s="33">
        <f>IF($C149="","",IFERROR(INDEX(Setup!$D$4:$D$28,MATCH($C149,Setup!$C$4:$C$28,0)),"CHECK"))</f>
        <v/>
      </c>
      <c r="G149" s="51">
        <f>IF($A149="","",MONTH($A149))</f>
        <v/>
      </c>
    </row>
    <row r="150">
      <c r="A150" s="53" t="n"/>
      <c r="B150" s="43" t="n"/>
      <c r="C150" s="43" t="n"/>
      <c r="D150" s="54" t="n"/>
      <c r="E150" s="55" t="n"/>
      <c r="F150" s="34">
        <f>IF($C150="","",IFERROR(INDEX(Setup!$D$4:$D$28,MATCH($C150,Setup!$C$4:$C$28,0)),"CHECK"))</f>
        <v/>
      </c>
      <c r="G150" s="56">
        <f>IF($A150="","",MONTH($A150))</f>
        <v/>
      </c>
    </row>
    <row r="151">
      <c r="A151" s="48" t="n"/>
      <c r="B151" s="39" t="n"/>
      <c r="C151" s="39" t="n"/>
      <c r="D151" s="49" t="n"/>
      <c r="E151" s="50" t="n"/>
      <c r="F151" s="33">
        <f>IF($C151="","",IFERROR(INDEX(Setup!$D$4:$D$28,MATCH($C151,Setup!$C$4:$C$28,0)),"CHECK"))</f>
        <v/>
      </c>
      <c r="G151" s="51">
        <f>IF($A151="","",MONTH($A151))</f>
        <v/>
      </c>
    </row>
    <row r="152">
      <c r="A152" s="53" t="n"/>
      <c r="B152" s="43" t="n"/>
      <c r="C152" s="43" t="n"/>
      <c r="D152" s="54" t="n"/>
      <c r="E152" s="55" t="n"/>
      <c r="F152" s="34">
        <f>IF($C152="","",IFERROR(INDEX(Setup!$D$4:$D$28,MATCH($C152,Setup!$C$4:$C$28,0)),"CHECK"))</f>
        <v/>
      </c>
      <c r="G152" s="56">
        <f>IF($A152="","",MONTH($A152))</f>
        <v/>
      </c>
    </row>
    <row r="153">
      <c r="A153" s="48" t="n"/>
      <c r="B153" s="39" t="n"/>
      <c r="C153" s="39" t="n"/>
      <c r="D153" s="49" t="n"/>
      <c r="E153" s="50" t="n"/>
      <c r="F153" s="33">
        <f>IF($C153="","",IFERROR(INDEX(Setup!$D$4:$D$28,MATCH($C153,Setup!$C$4:$C$28,0)),"CHECK"))</f>
        <v/>
      </c>
      <c r="G153" s="51">
        <f>IF($A153="","",MONTH($A153))</f>
        <v/>
      </c>
    </row>
    <row r="154">
      <c r="A154" s="53" t="n"/>
      <c r="B154" s="43" t="n"/>
      <c r="C154" s="43" t="n"/>
      <c r="D154" s="54" t="n"/>
      <c r="E154" s="55" t="n"/>
      <c r="F154" s="34">
        <f>IF($C154="","",IFERROR(INDEX(Setup!$D$4:$D$28,MATCH($C154,Setup!$C$4:$C$28,0)),"CHECK"))</f>
        <v/>
      </c>
      <c r="G154" s="56">
        <f>IF($A154="","",MONTH($A154))</f>
        <v/>
      </c>
    </row>
    <row r="155">
      <c r="A155" s="48" t="n"/>
      <c r="B155" s="39" t="n"/>
      <c r="C155" s="39" t="n"/>
      <c r="D155" s="49" t="n"/>
      <c r="E155" s="50" t="n"/>
      <c r="F155" s="33">
        <f>IF($C155="","",IFERROR(INDEX(Setup!$D$4:$D$28,MATCH($C155,Setup!$C$4:$C$28,0)),"CHECK"))</f>
        <v/>
      </c>
      <c r="G155" s="51">
        <f>IF($A155="","",MONTH($A155))</f>
        <v/>
      </c>
    </row>
    <row r="156">
      <c r="A156" s="53" t="n"/>
      <c r="B156" s="43" t="n"/>
      <c r="C156" s="43" t="n"/>
      <c r="D156" s="54" t="n"/>
      <c r="E156" s="55" t="n"/>
      <c r="F156" s="34">
        <f>IF($C156="","",IFERROR(INDEX(Setup!$D$4:$D$28,MATCH($C156,Setup!$C$4:$C$28,0)),"CHECK"))</f>
        <v/>
      </c>
      <c r="G156" s="56">
        <f>IF($A156="","",MONTH($A156))</f>
        <v/>
      </c>
    </row>
    <row r="157">
      <c r="A157" s="48" t="n"/>
      <c r="B157" s="39" t="n"/>
      <c r="C157" s="39" t="n"/>
      <c r="D157" s="49" t="n"/>
      <c r="E157" s="50" t="n"/>
      <c r="F157" s="33">
        <f>IF($C157="","",IFERROR(INDEX(Setup!$D$4:$D$28,MATCH($C157,Setup!$C$4:$C$28,0)),"CHECK"))</f>
        <v/>
      </c>
      <c r="G157" s="51">
        <f>IF($A157="","",MONTH($A157))</f>
        <v/>
      </c>
    </row>
    <row r="158">
      <c r="A158" s="53" t="n"/>
      <c r="B158" s="43" t="n"/>
      <c r="C158" s="43" t="n"/>
      <c r="D158" s="54" t="n"/>
      <c r="E158" s="55" t="n"/>
      <c r="F158" s="34">
        <f>IF($C158="","",IFERROR(INDEX(Setup!$D$4:$D$28,MATCH($C158,Setup!$C$4:$C$28,0)),"CHECK"))</f>
        <v/>
      </c>
      <c r="G158" s="56">
        <f>IF($A158="","",MONTH($A158))</f>
        <v/>
      </c>
    </row>
    <row r="159">
      <c r="A159" s="48" t="n"/>
      <c r="B159" s="39" t="n"/>
      <c r="C159" s="39" t="n"/>
      <c r="D159" s="49" t="n"/>
      <c r="E159" s="50" t="n"/>
      <c r="F159" s="33">
        <f>IF($C159="","",IFERROR(INDEX(Setup!$D$4:$D$28,MATCH($C159,Setup!$C$4:$C$28,0)),"CHECK"))</f>
        <v/>
      </c>
      <c r="G159" s="51">
        <f>IF($A159="","",MONTH($A159))</f>
        <v/>
      </c>
    </row>
    <row r="160">
      <c r="A160" s="53" t="n"/>
      <c r="B160" s="43" t="n"/>
      <c r="C160" s="43" t="n"/>
      <c r="D160" s="54" t="n"/>
      <c r="E160" s="55" t="n"/>
      <c r="F160" s="34">
        <f>IF($C160="","",IFERROR(INDEX(Setup!$D$4:$D$28,MATCH($C160,Setup!$C$4:$C$28,0)),"CHECK"))</f>
        <v/>
      </c>
      <c r="G160" s="56">
        <f>IF($A160="","",MONTH($A160))</f>
        <v/>
      </c>
    </row>
    <row r="161">
      <c r="A161" s="48" t="n"/>
      <c r="B161" s="39" t="n"/>
      <c r="C161" s="39" t="n"/>
      <c r="D161" s="49" t="n"/>
      <c r="E161" s="50" t="n"/>
      <c r="F161" s="33">
        <f>IF($C161="","",IFERROR(INDEX(Setup!$D$4:$D$28,MATCH($C161,Setup!$C$4:$C$28,0)),"CHECK"))</f>
        <v/>
      </c>
      <c r="G161" s="51">
        <f>IF($A161="","",MONTH($A161))</f>
        <v/>
      </c>
    </row>
    <row r="162">
      <c r="A162" s="53" t="n"/>
      <c r="B162" s="43" t="n"/>
      <c r="C162" s="43" t="n"/>
      <c r="D162" s="54" t="n"/>
      <c r="E162" s="55" t="n"/>
      <c r="F162" s="34">
        <f>IF($C162="","",IFERROR(INDEX(Setup!$D$4:$D$28,MATCH($C162,Setup!$C$4:$C$28,0)),"CHECK"))</f>
        <v/>
      </c>
      <c r="G162" s="56">
        <f>IF($A162="","",MONTH($A162))</f>
        <v/>
      </c>
    </row>
    <row r="163">
      <c r="A163" s="48" t="n"/>
      <c r="B163" s="39" t="n"/>
      <c r="C163" s="39" t="n"/>
      <c r="D163" s="49" t="n"/>
      <c r="E163" s="50" t="n"/>
      <c r="F163" s="33">
        <f>IF($C163="","",IFERROR(INDEX(Setup!$D$4:$D$28,MATCH($C163,Setup!$C$4:$C$28,0)),"CHECK"))</f>
        <v/>
      </c>
      <c r="G163" s="51">
        <f>IF($A163="","",MONTH($A163))</f>
        <v/>
      </c>
    </row>
    <row r="164">
      <c r="A164" s="53" t="n"/>
      <c r="B164" s="43" t="n"/>
      <c r="C164" s="43" t="n"/>
      <c r="D164" s="54" t="n"/>
      <c r="E164" s="55" t="n"/>
      <c r="F164" s="34">
        <f>IF($C164="","",IFERROR(INDEX(Setup!$D$4:$D$28,MATCH($C164,Setup!$C$4:$C$28,0)),"CHECK"))</f>
        <v/>
      </c>
      <c r="G164" s="56">
        <f>IF($A164="","",MONTH($A164))</f>
        <v/>
      </c>
    </row>
    <row r="165">
      <c r="A165" s="48" t="n"/>
      <c r="B165" s="39" t="n"/>
      <c r="C165" s="39" t="n"/>
      <c r="D165" s="49" t="n"/>
      <c r="E165" s="50" t="n"/>
      <c r="F165" s="33">
        <f>IF($C165="","",IFERROR(INDEX(Setup!$D$4:$D$28,MATCH($C165,Setup!$C$4:$C$28,0)),"CHECK"))</f>
        <v/>
      </c>
      <c r="G165" s="51">
        <f>IF($A165="","",MONTH($A165))</f>
        <v/>
      </c>
    </row>
    <row r="166">
      <c r="A166" s="53" t="n"/>
      <c r="B166" s="43" t="n"/>
      <c r="C166" s="43" t="n"/>
      <c r="D166" s="54" t="n"/>
      <c r="E166" s="55" t="n"/>
      <c r="F166" s="34">
        <f>IF($C166="","",IFERROR(INDEX(Setup!$D$4:$D$28,MATCH($C166,Setup!$C$4:$C$28,0)),"CHECK"))</f>
        <v/>
      </c>
      <c r="G166" s="56">
        <f>IF($A166="","",MONTH($A166))</f>
        <v/>
      </c>
    </row>
    <row r="167">
      <c r="A167" s="48" t="n"/>
      <c r="B167" s="39" t="n"/>
      <c r="C167" s="39" t="n"/>
      <c r="D167" s="49" t="n"/>
      <c r="E167" s="50" t="n"/>
      <c r="F167" s="33">
        <f>IF($C167="","",IFERROR(INDEX(Setup!$D$4:$D$28,MATCH($C167,Setup!$C$4:$C$28,0)),"CHECK"))</f>
        <v/>
      </c>
      <c r="G167" s="51">
        <f>IF($A167="","",MONTH($A167))</f>
        <v/>
      </c>
    </row>
    <row r="168">
      <c r="A168" s="53" t="n"/>
      <c r="B168" s="43" t="n"/>
      <c r="C168" s="43" t="n"/>
      <c r="D168" s="54" t="n"/>
      <c r="E168" s="55" t="n"/>
      <c r="F168" s="34">
        <f>IF($C168="","",IFERROR(INDEX(Setup!$D$4:$D$28,MATCH($C168,Setup!$C$4:$C$28,0)),"CHECK"))</f>
        <v/>
      </c>
      <c r="G168" s="56">
        <f>IF($A168="","",MONTH($A168))</f>
        <v/>
      </c>
    </row>
    <row r="169">
      <c r="A169" s="48" t="n"/>
      <c r="B169" s="39" t="n"/>
      <c r="C169" s="39" t="n"/>
      <c r="D169" s="49" t="n"/>
      <c r="E169" s="50" t="n"/>
      <c r="F169" s="33">
        <f>IF($C169="","",IFERROR(INDEX(Setup!$D$4:$D$28,MATCH($C169,Setup!$C$4:$C$28,0)),"CHECK"))</f>
        <v/>
      </c>
      <c r="G169" s="51">
        <f>IF($A169="","",MONTH($A169))</f>
        <v/>
      </c>
    </row>
    <row r="170">
      <c r="A170" s="53" t="n"/>
      <c r="B170" s="43" t="n"/>
      <c r="C170" s="43" t="n"/>
      <c r="D170" s="54" t="n"/>
      <c r="E170" s="55" t="n"/>
      <c r="F170" s="34">
        <f>IF($C170="","",IFERROR(INDEX(Setup!$D$4:$D$28,MATCH($C170,Setup!$C$4:$C$28,0)),"CHECK"))</f>
        <v/>
      </c>
      <c r="G170" s="56">
        <f>IF($A170="","",MONTH($A170))</f>
        <v/>
      </c>
    </row>
    <row r="171">
      <c r="A171" s="48" t="n"/>
      <c r="B171" s="39" t="n"/>
      <c r="C171" s="39" t="n"/>
      <c r="D171" s="49" t="n"/>
      <c r="E171" s="50" t="n"/>
      <c r="F171" s="33">
        <f>IF($C171="","",IFERROR(INDEX(Setup!$D$4:$D$28,MATCH($C171,Setup!$C$4:$C$28,0)),"CHECK"))</f>
        <v/>
      </c>
      <c r="G171" s="51">
        <f>IF($A171="","",MONTH($A171))</f>
        <v/>
      </c>
    </row>
    <row r="172">
      <c r="A172" s="53" t="n"/>
      <c r="B172" s="43" t="n"/>
      <c r="C172" s="43" t="n"/>
      <c r="D172" s="54" t="n"/>
      <c r="E172" s="55" t="n"/>
      <c r="F172" s="34">
        <f>IF($C172="","",IFERROR(INDEX(Setup!$D$4:$D$28,MATCH($C172,Setup!$C$4:$C$28,0)),"CHECK"))</f>
        <v/>
      </c>
      <c r="G172" s="56">
        <f>IF($A172="","",MONTH($A172))</f>
        <v/>
      </c>
    </row>
    <row r="173">
      <c r="A173" s="48" t="n"/>
      <c r="B173" s="39" t="n"/>
      <c r="C173" s="39" t="n"/>
      <c r="D173" s="49" t="n"/>
      <c r="E173" s="50" t="n"/>
      <c r="F173" s="33">
        <f>IF($C173="","",IFERROR(INDEX(Setup!$D$4:$D$28,MATCH($C173,Setup!$C$4:$C$28,0)),"CHECK"))</f>
        <v/>
      </c>
      <c r="G173" s="51">
        <f>IF($A173="","",MONTH($A173))</f>
        <v/>
      </c>
    </row>
    <row r="174">
      <c r="A174" s="53" t="n"/>
      <c r="B174" s="43" t="n"/>
      <c r="C174" s="43" t="n"/>
      <c r="D174" s="54" t="n"/>
      <c r="E174" s="55" t="n"/>
      <c r="F174" s="34">
        <f>IF($C174="","",IFERROR(INDEX(Setup!$D$4:$D$28,MATCH($C174,Setup!$C$4:$C$28,0)),"CHECK"))</f>
        <v/>
      </c>
      <c r="G174" s="56">
        <f>IF($A174="","",MONTH($A174))</f>
        <v/>
      </c>
    </row>
    <row r="175">
      <c r="A175" s="48" t="n"/>
      <c r="B175" s="39" t="n"/>
      <c r="C175" s="39" t="n"/>
      <c r="D175" s="49" t="n"/>
      <c r="E175" s="50" t="n"/>
      <c r="F175" s="33">
        <f>IF($C175="","",IFERROR(INDEX(Setup!$D$4:$D$28,MATCH($C175,Setup!$C$4:$C$28,0)),"CHECK"))</f>
        <v/>
      </c>
      <c r="G175" s="51">
        <f>IF($A175="","",MONTH($A175))</f>
        <v/>
      </c>
    </row>
    <row r="176">
      <c r="A176" s="53" t="n"/>
      <c r="B176" s="43" t="n"/>
      <c r="C176" s="43" t="n"/>
      <c r="D176" s="54" t="n"/>
      <c r="E176" s="55" t="n"/>
      <c r="F176" s="34">
        <f>IF($C176="","",IFERROR(INDEX(Setup!$D$4:$D$28,MATCH($C176,Setup!$C$4:$C$28,0)),"CHECK"))</f>
        <v/>
      </c>
      <c r="G176" s="56">
        <f>IF($A176="","",MONTH($A176))</f>
        <v/>
      </c>
    </row>
    <row r="177">
      <c r="A177" s="48" t="n"/>
      <c r="B177" s="39" t="n"/>
      <c r="C177" s="39" t="n"/>
      <c r="D177" s="49" t="n"/>
      <c r="E177" s="50" t="n"/>
      <c r="F177" s="33">
        <f>IF($C177="","",IFERROR(INDEX(Setup!$D$4:$D$28,MATCH($C177,Setup!$C$4:$C$28,0)),"CHECK"))</f>
        <v/>
      </c>
      <c r="G177" s="51">
        <f>IF($A177="","",MONTH($A177))</f>
        <v/>
      </c>
    </row>
    <row r="178">
      <c r="A178" s="53" t="n"/>
      <c r="B178" s="43" t="n"/>
      <c r="C178" s="43" t="n"/>
      <c r="D178" s="54" t="n"/>
      <c r="E178" s="55" t="n"/>
      <c r="F178" s="34">
        <f>IF($C178="","",IFERROR(INDEX(Setup!$D$4:$D$28,MATCH($C178,Setup!$C$4:$C$28,0)),"CHECK"))</f>
        <v/>
      </c>
      <c r="G178" s="56">
        <f>IF($A178="","",MONTH($A178))</f>
        <v/>
      </c>
    </row>
    <row r="179">
      <c r="A179" s="48" t="n"/>
      <c r="B179" s="39" t="n"/>
      <c r="C179" s="39" t="n"/>
      <c r="D179" s="49" t="n"/>
      <c r="E179" s="50" t="n"/>
      <c r="F179" s="33">
        <f>IF($C179="","",IFERROR(INDEX(Setup!$D$4:$D$28,MATCH($C179,Setup!$C$4:$C$28,0)),"CHECK"))</f>
        <v/>
      </c>
      <c r="G179" s="51">
        <f>IF($A179="","",MONTH($A179))</f>
        <v/>
      </c>
    </row>
    <row r="180">
      <c r="A180" s="53" t="n"/>
      <c r="B180" s="43" t="n"/>
      <c r="C180" s="43" t="n"/>
      <c r="D180" s="54" t="n"/>
      <c r="E180" s="55" t="n"/>
      <c r="F180" s="34">
        <f>IF($C180="","",IFERROR(INDEX(Setup!$D$4:$D$28,MATCH($C180,Setup!$C$4:$C$28,0)),"CHECK"))</f>
        <v/>
      </c>
      <c r="G180" s="56">
        <f>IF($A180="","",MONTH($A180))</f>
        <v/>
      </c>
    </row>
    <row r="181">
      <c r="A181" s="48" t="n"/>
      <c r="B181" s="39" t="n"/>
      <c r="C181" s="39" t="n"/>
      <c r="D181" s="49" t="n"/>
      <c r="E181" s="50" t="n"/>
      <c r="F181" s="33">
        <f>IF($C181="","",IFERROR(INDEX(Setup!$D$4:$D$28,MATCH($C181,Setup!$C$4:$C$28,0)),"CHECK"))</f>
        <v/>
      </c>
      <c r="G181" s="51">
        <f>IF($A181="","",MONTH($A181))</f>
        <v/>
      </c>
    </row>
    <row r="182">
      <c r="A182" s="53" t="n"/>
      <c r="B182" s="43" t="n"/>
      <c r="C182" s="43" t="n"/>
      <c r="D182" s="54" t="n"/>
      <c r="E182" s="55" t="n"/>
      <c r="F182" s="34">
        <f>IF($C182="","",IFERROR(INDEX(Setup!$D$4:$D$28,MATCH($C182,Setup!$C$4:$C$28,0)),"CHECK"))</f>
        <v/>
      </c>
      <c r="G182" s="56">
        <f>IF($A182="","",MONTH($A182))</f>
        <v/>
      </c>
    </row>
    <row r="183">
      <c r="A183" s="48" t="n"/>
      <c r="B183" s="39" t="n"/>
      <c r="C183" s="39" t="n"/>
      <c r="D183" s="49" t="n"/>
      <c r="E183" s="50" t="n"/>
      <c r="F183" s="33">
        <f>IF($C183="","",IFERROR(INDEX(Setup!$D$4:$D$28,MATCH($C183,Setup!$C$4:$C$28,0)),"CHECK"))</f>
        <v/>
      </c>
      <c r="G183" s="51">
        <f>IF($A183="","",MONTH($A183))</f>
        <v/>
      </c>
    </row>
    <row r="184">
      <c r="A184" s="53" t="n"/>
      <c r="B184" s="43" t="n"/>
      <c r="C184" s="43" t="n"/>
      <c r="D184" s="54" t="n"/>
      <c r="E184" s="55" t="n"/>
      <c r="F184" s="34">
        <f>IF($C184="","",IFERROR(INDEX(Setup!$D$4:$D$28,MATCH($C184,Setup!$C$4:$C$28,0)),"CHECK"))</f>
        <v/>
      </c>
      <c r="G184" s="56">
        <f>IF($A184="","",MONTH($A184))</f>
        <v/>
      </c>
    </row>
    <row r="185">
      <c r="A185" s="48" t="n"/>
      <c r="B185" s="39" t="n"/>
      <c r="C185" s="39" t="n"/>
      <c r="D185" s="49" t="n"/>
      <c r="E185" s="50" t="n"/>
      <c r="F185" s="33">
        <f>IF($C185="","",IFERROR(INDEX(Setup!$D$4:$D$28,MATCH($C185,Setup!$C$4:$C$28,0)),"CHECK"))</f>
        <v/>
      </c>
      <c r="G185" s="51">
        <f>IF($A185="","",MONTH($A185))</f>
        <v/>
      </c>
    </row>
    <row r="186">
      <c r="A186" s="53" t="n"/>
      <c r="B186" s="43" t="n"/>
      <c r="C186" s="43" t="n"/>
      <c r="D186" s="54" t="n"/>
      <c r="E186" s="55" t="n"/>
      <c r="F186" s="34">
        <f>IF($C186="","",IFERROR(INDEX(Setup!$D$4:$D$28,MATCH($C186,Setup!$C$4:$C$28,0)),"CHECK"))</f>
        <v/>
      </c>
      <c r="G186" s="56">
        <f>IF($A186="","",MONTH($A186))</f>
        <v/>
      </c>
    </row>
    <row r="187">
      <c r="A187" s="48" t="n"/>
      <c r="B187" s="39" t="n"/>
      <c r="C187" s="39" t="n"/>
      <c r="D187" s="49" t="n"/>
      <c r="E187" s="50" t="n"/>
      <c r="F187" s="33">
        <f>IF($C187="","",IFERROR(INDEX(Setup!$D$4:$D$28,MATCH($C187,Setup!$C$4:$C$28,0)),"CHECK"))</f>
        <v/>
      </c>
      <c r="G187" s="51">
        <f>IF($A187="","",MONTH($A187))</f>
        <v/>
      </c>
    </row>
    <row r="188">
      <c r="A188" s="53" t="n"/>
      <c r="B188" s="43" t="n"/>
      <c r="C188" s="43" t="n"/>
      <c r="D188" s="54" t="n"/>
      <c r="E188" s="55" t="n"/>
      <c r="F188" s="34">
        <f>IF($C188="","",IFERROR(INDEX(Setup!$D$4:$D$28,MATCH($C188,Setup!$C$4:$C$28,0)),"CHECK"))</f>
        <v/>
      </c>
      <c r="G188" s="56">
        <f>IF($A188="","",MONTH($A188))</f>
        <v/>
      </c>
    </row>
    <row r="189">
      <c r="A189" s="48" t="n"/>
      <c r="B189" s="39" t="n"/>
      <c r="C189" s="39" t="n"/>
      <c r="D189" s="49" t="n"/>
      <c r="E189" s="50" t="n"/>
      <c r="F189" s="33">
        <f>IF($C189="","",IFERROR(INDEX(Setup!$D$4:$D$28,MATCH($C189,Setup!$C$4:$C$28,0)),"CHECK"))</f>
        <v/>
      </c>
      <c r="G189" s="51">
        <f>IF($A189="","",MONTH($A189))</f>
        <v/>
      </c>
    </row>
    <row r="190">
      <c r="A190" s="53" t="n"/>
      <c r="B190" s="43" t="n"/>
      <c r="C190" s="43" t="n"/>
      <c r="D190" s="54" t="n"/>
      <c r="E190" s="55" t="n"/>
      <c r="F190" s="34">
        <f>IF($C190="","",IFERROR(INDEX(Setup!$D$4:$D$28,MATCH($C190,Setup!$C$4:$C$28,0)),"CHECK"))</f>
        <v/>
      </c>
      <c r="G190" s="56">
        <f>IF($A190="","",MONTH($A190))</f>
        <v/>
      </c>
    </row>
    <row r="191">
      <c r="A191" s="48" t="n"/>
      <c r="B191" s="39" t="n"/>
      <c r="C191" s="39" t="n"/>
      <c r="D191" s="49" t="n"/>
      <c r="E191" s="50" t="n"/>
      <c r="F191" s="33">
        <f>IF($C191="","",IFERROR(INDEX(Setup!$D$4:$D$28,MATCH($C191,Setup!$C$4:$C$28,0)),"CHECK"))</f>
        <v/>
      </c>
      <c r="G191" s="51">
        <f>IF($A191="","",MONTH($A191))</f>
        <v/>
      </c>
    </row>
    <row r="192">
      <c r="A192" s="53" t="n"/>
      <c r="B192" s="43" t="n"/>
      <c r="C192" s="43" t="n"/>
      <c r="D192" s="54" t="n"/>
      <c r="E192" s="55" t="n"/>
      <c r="F192" s="34">
        <f>IF($C192="","",IFERROR(INDEX(Setup!$D$4:$D$28,MATCH($C192,Setup!$C$4:$C$28,0)),"CHECK"))</f>
        <v/>
      </c>
      <c r="G192" s="56">
        <f>IF($A192="","",MONTH($A192))</f>
        <v/>
      </c>
    </row>
    <row r="193">
      <c r="A193" s="48" t="n"/>
      <c r="B193" s="39" t="n"/>
      <c r="C193" s="39" t="n"/>
      <c r="D193" s="49" t="n"/>
      <c r="E193" s="50" t="n"/>
      <c r="F193" s="33">
        <f>IF($C193="","",IFERROR(INDEX(Setup!$D$4:$D$28,MATCH($C193,Setup!$C$4:$C$28,0)),"CHECK"))</f>
        <v/>
      </c>
      <c r="G193" s="51">
        <f>IF($A193="","",MONTH($A193))</f>
        <v/>
      </c>
    </row>
    <row r="194">
      <c r="A194" s="53" t="n"/>
      <c r="B194" s="43" t="n"/>
      <c r="C194" s="43" t="n"/>
      <c r="D194" s="54" t="n"/>
      <c r="E194" s="55" t="n"/>
      <c r="F194" s="34">
        <f>IF($C194="","",IFERROR(INDEX(Setup!$D$4:$D$28,MATCH($C194,Setup!$C$4:$C$28,0)),"CHECK"))</f>
        <v/>
      </c>
      <c r="G194" s="56">
        <f>IF($A194="","",MONTH($A194))</f>
        <v/>
      </c>
    </row>
    <row r="195">
      <c r="A195" s="48" t="n"/>
      <c r="B195" s="39" t="n"/>
      <c r="C195" s="39" t="n"/>
      <c r="D195" s="49" t="n"/>
      <c r="E195" s="50" t="n"/>
      <c r="F195" s="33">
        <f>IF($C195="","",IFERROR(INDEX(Setup!$D$4:$D$28,MATCH($C195,Setup!$C$4:$C$28,0)),"CHECK"))</f>
        <v/>
      </c>
      <c r="G195" s="51">
        <f>IF($A195="","",MONTH($A195))</f>
        <v/>
      </c>
    </row>
    <row r="196">
      <c r="A196" s="53" t="n"/>
      <c r="B196" s="43" t="n"/>
      <c r="C196" s="43" t="n"/>
      <c r="D196" s="54" t="n"/>
      <c r="E196" s="55" t="n"/>
      <c r="F196" s="34">
        <f>IF($C196="","",IFERROR(INDEX(Setup!$D$4:$D$28,MATCH($C196,Setup!$C$4:$C$28,0)),"CHECK"))</f>
        <v/>
      </c>
      <c r="G196" s="56">
        <f>IF($A196="","",MONTH($A196))</f>
        <v/>
      </c>
    </row>
    <row r="197">
      <c r="A197" s="48" t="n"/>
      <c r="B197" s="39" t="n"/>
      <c r="C197" s="39" t="n"/>
      <c r="D197" s="49" t="n"/>
      <c r="E197" s="50" t="n"/>
      <c r="F197" s="33">
        <f>IF($C197="","",IFERROR(INDEX(Setup!$D$4:$D$28,MATCH($C197,Setup!$C$4:$C$28,0)),"CHECK"))</f>
        <v/>
      </c>
      <c r="G197" s="51">
        <f>IF($A197="","",MONTH($A197))</f>
        <v/>
      </c>
    </row>
    <row r="198">
      <c r="A198" s="53" t="n"/>
      <c r="B198" s="43" t="n"/>
      <c r="C198" s="43" t="n"/>
      <c r="D198" s="54" t="n"/>
      <c r="E198" s="55" t="n"/>
      <c r="F198" s="34">
        <f>IF($C198="","",IFERROR(INDEX(Setup!$D$4:$D$28,MATCH($C198,Setup!$C$4:$C$28,0)),"CHECK"))</f>
        <v/>
      </c>
      <c r="G198" s="56">
        <f>IF($A198="","",MONTH($A198))</f>
        <v/>
      </c>
    </row>
    <row r="199">
      <c r="A199" s="48" t="n"/>
      <c r="B199" s="39" t="n"/>
      <c r="C199" s="39" t="n"/>
      <c r="D199" s="49" t="n"/>
      <c r="E199" s="50" t="n"/>
      <c r="F199" s="33">
        <f>IF($C199="","",IFERROR(INDEX(Setup!$D$4:$D$28,MATCH($C199,Setup!$C$4:$C$28,0)),"CHECK"))</f>
        <v/>
      </c>
      <c r="G199" s="51">
        <f>IF($A199="","",MONTH($A199))</f>
        <v/>
      </c>
    </row>
    <row r="200">
      <c r="A200" s="53" t="n"/>
      <c r="B200" s="43" t="n"/>
      <c r="C200" s="43" t="n"/>
      <c r="D200" s="54" t="n"/>
      <c r="E200" s="55" t="n"/>
      <c r="F200" s="34">
        <f>IF($C200="","",IFERROR(INDEX(Setup!$D$4:$D$28,MATCH($C200,Setup!$C$4:$C$28,0)),"CHECK"))</f>
        <v/>
      </c>
      <c r="G200" s="56">
        <f>IF($A200="","",MONTH($A200))</f>
        <v/>
      </c>
    </row>
    <row r="201">
      <c r="A201" s="48" t="n"/>
      <c r="B201" s="39" t="n"/>
      <c r="C201" s="39" t="n"/>
      <c r="D201" s="49" t="n"/>
      <c r="E201" s="50" t="n"/>
      <c r="F201" s="33">
        <f>IF($C201="","",IFERROR(INDEX(Setup!$D$4:$D$28,MATCH($C201,Setup!$C$4:$C$28,0)),"CHECK"))</f>
        <v/>
      </c>
      <c r="G201" s="51">
        <f>IF($A201="","",MONTH($A201))</f>
        <v/>
      </c>
    </row>
    <row r="202">
      <c r="A202" s="53" t="n"/>
      <c r="B202" s="43" t="n"/>
      <c r="C202" s="43" t="n"/>
      <c r="D202" s="54" t="n"/>
      <c r="E202" s="55" t="n"/>
      <c r="F202" s="34">
        <f>IF($C202="","",IFERROR(INDEX(Setup!$D$4:$D$28,MATCH($C202,Setup!$C$4:$C$28,0)),"CHECK"))</f>
        <v/>
      </c>
      <c r="G202" s="56">
        <f>IF($A202="","",MONTH($A202))</f>
        <v/>
      </c>
    </row>
    <row r="203">
      <c r="A203" s="48" t="n"/>
      <c r="B203" s="39" t="n"/>
      <c r="C203" s="39" t="n"/>
      <c r="D203" s="49" t="n"/>
      <c r="E203" s="50" t="n"/>
      <c r="F203" s="33">
        <f>IF($C203="","",IFERROR(INDEX(Setup!$D$4:$D$28,MATCH($C203,Setup!$C$4:$C$28,0)),"CHECK"))</f>
        <v/>
      </c>
      <c r="G203" s="51">
        <f>IF($A203="","",MONTH($A203))</f>
        <v/>
      </c>
    </row>
    <row r="204">
      <c r="A204" s="53" t="n"/>
      <c r="B204" s="43" t="n"/>
      <c r="C204" s="43" t="n"/>
      <c r="D204" s="54" t="n"/>
      <c r="E204" s="55" t="n"/>
      <c r="F204" s="34">
        <f>IF($C204="","",IFERROR(INDEX(Setup!$D$4:$D$28,MATCH($C204,Setup!$C$4:$C$28,0)),"CHECK"))</f>
        <v/>
      </c>
      <c r="G204" s="56">
        <f>IF($A204="","",MONTH($A204))</f>
        <v/>
      </c>
    </row>
    <row r="205">
      <c r="A205" s="48" t="n"/>
      <c r="B205" s="39" t="n"/>
      <c r="C205" s="39" t="n"/>
      <c r="D205" s="49" t="n"/>
      <c r="E205" s="50" t="n"/>
      <c r="F205" s="33">
        <f>IF($C205="","",IFERROR(INDEX(Setup!$D$4:$D$28,MATCH($C205,Setup!$C$4:$C$28,0)),"CHECK"))</f>
        <v/>
      </c>
      <c r="G205" s="51">
        <f>IF($A205="","",MONTH($A205))</f>
        <v/>
      </c>
    </row>
    <row r="206">
      <c r="A206" s="53" t="n"/>
      <c r="B206" s="43" t="n"/>
      <c r="C206" s="43" t="n"/>
      <c r="D206" s="54" t="n"/>
      <c r="E206" s="55" t="n"/>
      <c r="F206" s="34">
        <f>IF($C206="","",IFERROR(INDEX(Setup!$D$4:$D$28,MATCH($C206,Setup!$C$4:$C$28,0)),"CHECK"))</f>
        <v/>
      </c>
      <c r="G206" s="56">
        <f>IF($A206="","",MONTH($A206))</f>
        <v/>
      </c>
    </row>
    <row r="207">
      <c r="A207" s="48" t="n"/>
      <c r="B207" s="39" t="n"/>
      <c r="C207" s="39" t="n"/>
      <c r="D207" s="49" t="n"/>
      <c r="E207" s="50" t="n"/>
      <c r="F207" s="33">
        <f>IF($C207="","",IFERROR(INDEX(Setup!$D$4:$D$28,MATCH($C207,Setup!$C$4:$C$28,0)),"CHECK"))</f>
        <v/>
      </c>
      <c r="G207" s="51">
        <f>IF($A207="","",MONTH($A207))</f>
        <v/>
      </c>
    </row>
    <row r="208">
      <c r="A208" s="53" t="n"/>
      <c r="B208" s="43" t="n"/>
      <c r="C208" s="43" t="n"/>
      <c r="D208" s="54" t="n"/>
      <c r="E208" s="55" t="n"/>
      <c r="F208" s="34">
        <f>IF($C208="","",IFERROR(INDEX(Setup!$D$4:$D$28,MATCH($C208,Setup!$C$4:$C$28,0)),"CHECK"))</f>
        <v/>
      </c>
      <c r="G208" s="56">
        <f>IF($A208="","",MONTH($A208))</f>
        <v/>
      </c>
    </row>
    <row r="209">
      <c r="A209" s="48" t="n"/>
      <c r="B209" s="39" t="n"/>
      <c r="C209" s="39" t="n"/>
      <c r="D209" s="49" t="n"/>
      <c r="E209" s="50" t="n"/>
      <c r="F209" s="33">
        <f>IF($C209="","",IFERROR(INDEX(Setup!$D$4:$D$28,MATCH($C209,Setup!$C$4:$C$28,0)),"CHECK"))</f>
        <v/>
      </c>
      <c r="G209" s="51">
        <f>IF($A209="","",MONTH($A209))</f>
        <v/>
      </c>
    </row>
    <row r="210">
      <c r="A210" s="53" t="n"/>
      <c r="B210" s="43" t="n"/>
      <c r="C210" s="43" t="n"/>
      <c r="D210" s="54" t="n"/>
      <c r="E210" s="55" t="n"/>
      <c r="F210" s="34">
        <f>IF($C210="","",IFERROR(INDEX(Setup!$D$4:$D$28,MATCH($C210,Setup!$C$4:$C$28,0)),"CHECK"))</f>
        <v/>
      </c>
      <c r="G210" s="56">
        <f>IF($A210="","",MONTH($A210))</f>
        <v/>
      </c>
    </row>
    <row r="211">
      <c r="A211" s="48" t="n"/>
      <c r="B211" s="39" t="n"/>
      <c r="C211" s="39" t="n"/>
      <c r="D211" s="49" t="n"/>
      <c r="E211" s="50" t="n"/>
      <c r="F211" s="33">
        <f>IF($C211="","",IFERROR(INDEX(Setup!$D$4:$D$28,MATCH($C211,Setup!$C$4:$C$28,0)),"CHECK"))</f>
        <v/>
      </c>
      <c r="G211" s="51">
        <f>IF($A211="","",MONTH($A211))</f>
        <v/>
      </c>
    </row>
    <row r="212">
      <c r="A212" s="53" t="n"/>
      <c r="B212" s="43" t="n"/>
      <c r="C212" s="43" t="n"/>
      <c r="D212" s="54" t="n"/>
      <c r="E212" s="55" t="n"/>
      <c r="F212" s="34">
        <f>IF($C212="","",IFERROR(INDEX(Setup!$D$4:$D$28,MATCH($C212,Setup!$C$4:$C$28,0)),"CHECK"))</f>
        <v/>
      </c>
      <c r="G212" s="56">
        <f>IF($A212="","",MONTH($A212))</f>
        <v/>
      </c>
    </row>
    <row r="213">
      <c r="A213" s="48" t="n"/>
      <c r="B213" s="39" t="n"/>
      <c r="C213" s="39" t="n"/>
      <c r="D213" s="49" t="n"/>
      <c r="E213" s="50" t="n"/>
      <c r="F213" s="33">
        <f>IF($C213="","",IFERROR(INDEX(Setup!$D$4:$D$28,MATCH($C213,Setup!$C$4:$C$28,0)),"CHECK"))</f>
        <v/>
      </c>
      <c r="G213" s="51">
        <f>IF($A213="","",MONTH($A213))</f>
        <v/>
      </c>
    </row>
    <row r="214">
      <c r="A214" s="53" t="n"/>
      <c r="B214" s="43" t="n"/>
      <c r="C214" s="43" t="n"/>
      <c r="D214" s="54" t="n"/>
      <c r="E214" s="55" t="n"/>
      <c r="F214" s="34">
        <f>IF($C214="","",IFERROR(INDEX(Setup!$D$4:$D$28,MATCH($C214,Setup!$C$4:$C$28,0)),"CHECK"))</f>
        <v/>
      </c>
      <c r="G214" s="56">
        <f>IF($A214="","",MONTH($A214))</f>
        <v/>
      </c>
    </row>
    <row r="215">
      <c r="A215" s="48" t="n"/>
      <c r="B215" s="39" t="n"/>
      <c r="C215" s="39" t="n"/>
      <c r="D215" s="49" t="n"/>
      <c r="E215" s="50" t="n"/>
      <c r="F215" s="33">
        <f>IF($C215="","",IFERROR(INDEX(Setup!$D$4:$D$28,MATCH($C215,Setup!$C$4:$C$28,0)),"CHECK"))</f>
        <v/>
      </c>
      <c r="G215" s="51">
        <f>IF($A215="","",MONTH($A215))</f>
        <v/>
      </c>
    </row>
    <row r="216">
      <c r="A216" s="53" t="n"/>
      <c r="B216" s="43" t="n"/>
      <c r="C216" s="43" t="n"/>
      <c r="D216" s="54" t="n"/>
      <c r="E216" s="55" t="n"/>
      <c r="F216" s="34">
        <f>IF($C216="","",IFERROR(INDEX(Setup!$D$4:$D$28,MATCH($C216,Setup!$C$4:$C$28,0)),"CHECK"))</f>
        <v/>
      </c>
      <c r="G216" s="56">
        <f>IF($A216="","",MONTH($A216))</f>
        <v/>
      </c>
    </row>
    <row r="217">
      <c r="A217" s="48" t="n"/>
      <c r="B217" s="39" t="n"/>
      <c r="C217" s="39" t="n"/>
      <c r="D217" s="49" t="n"/>
      <c r="E217" s="50" t="n"/>
      <c r="F217" s="33">
        <f>IF($C217="","",IFERROR(INDEX(Setup!$D$4:$D$28,MATCH($C217,Setup!$C$4:$C$28,0)),"CHECK"))</f>
        <v/>
      </c>
      <c r="G217" s="51">
        <f>IF($A217="","",MONTH($A217))</f>
        <v/>
      </c>
    </row>
    <row r="218">
      <c r="A218" s="53" t="n"/>
      <c r="B218" s="43" t="n"/>
      <c r="C218" s="43" t="n"/>
      <c r="D218" s="54" t="n"/>
      <c r="E218" s="55" t="n"/>
      <c r="F218" s="34">
        <f>IF($C218="","",IFERROR(INDEX(Setup!$D$4:$D$28,MATCH($C218,Setup!$C$4:$C$28,0)),"CHECK"))</f>
        <v/>
      </c>
      <c r="G218" s="56">
        <f>IF($A218="","",MONTH($A218))</f>
        <v/>
      </c>
    </row>
    <row r="219">
      <c r="A219" s="48" t="n"/>
      <c r="B219" s="39" t="n"/>
      <c r="C219" s="39" t="n"/>
      <c r="D219" s="49" t="n"/>
      <c r="E219" s="50" t="n"/>
      <c r="F219" s="33">
        <f>IF($C219="","",IFERROR(INDEX(Setup!$D$4:$D$28,MATCH($C219,Setup!$C$4:$C$28,0)),"CHECK"))</f>
        <v/>
      </c>
      <c r="G219" s="51">
        <f>IF($A219="","",MONTH($A219))</f>
        <v/>
      </c>
    </row>
    <row r="220">
      <c r="A220" s="53" t="n"/>
      <c r="B220" s="43" t="n"/>
      <c r="C220" s="43" t="n"/>
      <c r="D220" s="54" t="n"/>
      <c r="E220" s="55" t="n"/>
      <c r="F220" s="34">
        <f>IF($C220="","",IFERROR(INDEX(Setup!$D$4:$D$28,MATCH($C220,Setup!$C$4:$C$28,0)),"CHECK"))</f>
        <v/>
      </c>
      <c r="G220" s="56">
        <f>IF($A220="","",MONTH($A220))</f>
        <v/>
      </c>
    </row>
    <row r="221">
      <c r="A221" s="48" t="n"/>
      <c r="B221" s="39" t="n"/>
      <c r="C221" s="39" t="n"/>
      <c r="D221" s="49" t="n"/>
      <c r="E221" s="50" t="n"/>
      <c r="F221" s="33">
        <f>IF($C221="","",IFERROR(INDEX(Setup!$D$4:$D$28,MATCH($C221,Setup!$C$4:$C$28,0)),"CHECK"))</f>
        <v/>
      </c>
      <c r="G221" s="51">
        <f>IF($A221="","",MONTH($A221))</f>
        <v/>
      </c>
    </row>
    <row r="222">
      <c r="A222" s="53" t="n"/>
      <c r="B222" s="43" t="n"/>
      <c r="C222" s="43" t="n"/>
      <c r="D222" s="54" t="n"/>
      <c r="E222" s="55" t="n"/>
      <c r="F222" s="34">
        <f>IF($C222="","",IFERROR(INDEX(Setup!$D$4:$D$28,MATCH($C222,Setup!$C$4:$C$28,0)),"CHECK"))</f>
        <v/>
      </c>
      <c r="G222" s="56">
        <f>IF($A222="","",MONTH($A222))</f>
        <v/>
      </c>
    </row>
    <row r="223">
      <c r="A223" s="48" t="n"/>
      <c r="B223" s="39" t="n"/>
      <c r="C223" s="39" t="n"/>
      <c r="D223" s="49" t="n"/>
      <c r="E223" s="50" t="n"/>
      <c r="F223" s="33">
        <f>IF($C223="","",IFERROR(INDEX(Setup!$D$4:$D$28,MATCH($C223,Setup!$C$4:$C$28,0)),"CHECK"))</f>
        <v/>
      </c>
      <c r="G223" s="51">
        <f>IF($A223="","",MONTH($A223))</f>
        <v/>
      </c>
    </row>
    <row r="224">
      <c r="A224" s="53" t="n"/>
      <c r="B224" s="43" t="n"/>
      <c r="C224" s="43" t="n"/>
      <c r="D224" s="54" t="n"/>
      <c r="E224" s="55" t="n"/>
      <c r="F224" s="34">
        <f>IF($C224="","",IFERROR(INDEX(Setup!$D$4:$D$28,MATCH($C224,Setup!$C$4:$C$28,0)),"CHECK"))</f>
        <v/>
      </c>
      <c r="G224" s="56">
        <f>IF($A224="","",MONTH($A224))</f>
        <v/>
      </c>
    </row>
    <row r="225">
      <c r="A225" s="48" t="n"/>
      <c r="B225" s="39" t="n"/>
      <c r="C225" s="39" t="n"/>
      <c r="D225" s="49" t="n"/>
      <c r="E225" s="50" t="n"/>
      <c r="F225" s="33">
        <f>IF($C225="","",IFERROR(INDEX(Setup!$D$4:$D$28,MATCH($C225,Setup!$C$4:$C$28,0)),"CHECK"))</f>
        <v/>
      </c>
      <c r="G225" s="51">
        <f>IF($A225="","",MONTH($A225))</f>
        <v/>
      </c>
    </row>
    <row r="226">
      <c r="A226" s="53" t="n"/>
      <c r="B226" s="43" t="n"/>
      <c r="C226" s="43" t="n"/>
      <c r="D226" s="54" t="n"/>
      <c r="E226" s="55" t="n"/>
      <c r="F226" s="34">
        <f>IF($C226="","",IFERROR(INDEX(Setup!$D$4:$D$28,MATCH($C226,Setup!$C$4:$C$28,0)),"CHECK"))</f>
        <v/>
      </c>
      <c r="G226" s="56">
        <f>IF($A226="","",MONTH($A226))</f>
        <v/>
      </c>
    </row>
    <row r="227">
      <c r="A227" s="48" t="n"/>
      <c r="B227" s="39" t="n"/>
      <c r="C227" s="39" t="n"/>
      <c r="D227" s="49" t="n"/>
      <c r="E227" s="50" t="n"/>
      <c r="F227" s="33">
        <f>IF($C227="","",IFERROR(INDEX(Setup!$D$4:$D$28,MATCH($C227,Setup!$C$4:$C$28,0)),"CHECK"))</f>
        <v/>
      </c>
      <c r="G227" s="51">
        <f>IF($A227="","",MONTH($A227))</f>
        <v/>
      </c>
    </row>
    <row r="228">
      <c r="A228" s="53" t="n"/>
      <c r="B228" s="43" t="n"/>
      <c r="C228" s="43" t="n"/>
      <c r="D228" s="54" t="n"/>
      <c r="E228" s="55" t="n"/>
      <c r="F228" s="34">
        <f>IF($C228="","",IFERROR(INDEX(Setup!$D$4:$D$28,MATCH($C228,Setup!$C$4:$C$28,0)),"CHECK"))</f>
        <v/>
      </c>
      <c r="G228" s="56">
        <f>IF($A228="","",MONTH($A228))</f>
        <v/>
      </c>
    </row>
    <row r="229">
      <c r="A229" s="48" t="n"/>
      <c r="B229" s="39" t="n"/>
      <c r="C229" s="39" t="n"/>
      <c r="D229" s="49" t="n"/>
      <c r="E229" s="50" t="n"/>
      <c r="F229" s="33">
        <f>IF($C229="","",IFERROR(INDEX(Setup!$D$4:$D$28,MATCH($C229,Setup!$C$4:$C$28,0)),"CHECK"))</f>
        <v/>
      </c>
      <c r="G229" s="51">
        <f>IF($A229="","",MONTH($A229))</f>
        <v/>
      </c>
    </row>
    <row r="230">
      <c r="A230" s="53" t="n"/>
      <c r="B230" s="43" t="n"/>
      <c r="C230" s="43" t="n"/>
      <c r="D230" s="54" t="n"/>
      <c r="E230" s="55" t="n"/>
      <c r="F230" s="34">
        <f>IF($C230="","",IFERROR(INDEX(Setup!$D$4:$D$28,MATCH($C230,Setup!$C$4:$C$28,0)),"CHECK"))</f>
        <v/>
      </c>
      <c r="G230" s="56">
        <f>IF($A230="","",MONTH($A230))</f>
        <v/>
      </c>
    </row>
    <row r="231">
      <c r="A231" s="48" t="n"/>
      <c r="B231" s="39" t="n"/>
      <c r="C231" s="39" t="n"/>
      <c r="D231" s="49" t="n"/>
      <c r="E231" s="50" t="n"/>
      <c r="F231" s="33">
        <f>IF($C231="","",IFERROR(INDEX(Setup!$D$4:$D$28,MATCH($C231,Setup!$C$4:$C$28,0)),"CHECK"))</f>
        <v/>
      </c>
      <c r="G231" s="51">
        <f>IF($A231="","",MONTH($A231))</f>
        <v/>
      </c>
    </row>
    <row r="232">
      <c r="A232" s="53" t="n"/>
      <c r="B232" s="43" t="n"/>
      <c r="C232" s="43" t="n"/>
      <c r="D232" s="54" t="n"/>
      <c r="E232" s="55" t="n"/>
      <c r="F232" s="34">
        <f>IF($C232="","",IFERROR(INDEX(Setup!$D$4:$D$28,MATCH($C232,Setup!$C$4:$C$28,0)),"CHECK"))</f>
        <v/>
      </c>
      <c r="G232" s="56">
        <f>IF($A232="","",MONTH($A232))</f>
        <v/>
      </c>
    </row>
    <row r="233">
      <c r="A233" s="48" t="n"/>
      <c r="B233" s="39" t="n"/>
      <c r="C233" s="39" t="n"/>
      <c r="D233" s="49" t="n"/>
      <c r="E233" s="50" t="n"/>
      <c r="F233" s="33">
        <f>IF($C233="","",IFERROR(INDEX(Setup!$D$4:$D$28,MATCH($C233,Setup!$C$4:$C$28,0)),"CHECK"))</f>
        <v/>
      </c>
      <c r="G233" s="51">
        <f>IF($A233="","",MONTH($A233))</f>
        <v/>
      </c>
    </row>
    <row r="234">
      <c r="A234" s="53" t="n"/>
      <c r="B234" s="43" t="n"/>
      <c r="C234" s="43" t="n"/>
      <c r="D234" s="54" t="n"/>
      <c r="E234" s="55" t="n"/>
      <c r="F234" s="34">
        <f>IF($C234="","",IFERROR(INDEX(Setup!$D$4:$D$28,MATCH($C234,Setup!$C$4:$C$28,0)),"CHECK"))</f>
        <v/>
      </c>
      <c r="G234" s="56">
        <f>IF($A234="","",MONTH($A234))</f>
        <v/>
      </c>
    </row>
    <row r="235">
      <c r="A235" s="48" t="n"/>
      <c r="B235" s="39" t="n"/>
      <c r="C235" s="39" t="n"/>
      <c r="D235" s="49" t="n"/>
      <c r="E235" s="50" t="n"/>
      <c r="F235" s="33">
        <f>IF($C235="","",IFERROR(INDEX(Setup!$D$4:$D$28,MATCH($C235,Setup!$C$4:$C$28,0)),"CHECK"))</f>
        <v/>
      </c>
      <c r="G235" s="51">
        <f>IF($A235="","",MONTH($A235))</f>
        <v/>
      </c>
    </row>
    <row r="236">
      <c r="A236" s="53" t="n"/>
      <c r="B236" s="43" t="n"/>
      <c r="C236" s="43" t="n"/>
      <c r="D236" s="54" t="n"/>
      <c r="E236" s="55" t="n"/>
      <c r="F236" s="34">
        <f>IF($C236="","",IFERROR(INDEX(Setup!$D$4:$D$28,MATCH($C236,Setup!$C$4:$C$28,0)),"CHECK"))</f>
        <v/>
      </c>
      <c r="G236" s="56">
        <f>IF($A236="","",MONTH($A236))</f>
        <v/>
      </c>
    </row>
    <row r="237">
      <c r="A237" s="48" t="n"/>
      <c r="B237" s="39" t="n"/>
      <c r="C237" s="39" t="n"/>
      <c r="D237" s="49" t="n"/>
      <c r="E237" s="50" t="n"/>
      <c r="F237" s="33">
        <f>IF($C237="","",IFERROR(INDEX(Setup!$D$4:$D$28,MATCH($C237,Setup!$C$4:$C$28,0)),"CHECK"))</f>
        <v/>
      </c>
      <c r="G237" s="51">
        <f>IF($A237="","",MONTH($A237))</f>
        <v/>
      </c>
    </row>
    <row r="238">
      <c r="A238" s="53" t="n"/>
      <c r="B238" s="43" t="n"/>
      <c r="C238" s="43" t="n"/>
      <c r="D238" s="54" t="n"/>
      <c r="E238" s="55" t="n"/>
      <c r="F238" s="34">
        <f>IF($C238="","",IFERROR(INDEX(Setup!$D$4:$D$28,MATCH($C238,Setup!$C$4:$C$28,0)),"CHECK"))</f>
        <v/>
      </c>
      <c r="G238" s="56">
        <f>IF($A238="","",MONTH($A238))</f>
        <v/>
      </c>
    </row>
    <row r="239">
      <c r="A239" s="48" t="n"/>
      <c r="B239" s="39" t="n"/>
      <c r="C239" s="39" t="n"/>
      <c r="D239" s="49" t="n"/>
      <c r="E239" s="50" t="n"/>
      <c r="F239" s="33">
        <f>IF($C239="","",IFERROR(INDEX(Setup!$D$4:$D$28,MATCH($C239,Setup!$C$4:$C$28,0)),"CHECK"))</f>
        <v/>
      </c>
      <c r="G239" s="51">
        <f>IF($A239="","",MONTH($A239))</f>
        <v/>
      </c>
    </row>
    <row r="240">
      <c r="A240" s="53" t="n"/>
      <c r="B240" s="43" t="n"/>
      <c r="C240" s="43" t="n"/>
      <c r="D240" s="54" t="n"/>
      <c r="E240" s="55" t="n"/>
      <c r="F240" s="34">
        <f>IF($C240="","",IFERROR(INDEX(Setup!$D$4:$D$28,MATCH($C240,Setup!$C$4:$C$28,0)),"CHECK"))</f>
        <v/>
      </c>
      <c r="G240" s="56">
        <f>IF($A240="","",MONTH($A240))</f>
        <v/>
      </c>
    </row>
    <row r="241">
      <c r="A241" s="48" t="n"/>
      <c r="B241" s="39" t="n"/>
      <c r="C241" s="39" t="n"/>
      <c r="D241" s="49" t="n"/>
      <c r="E241" s="50" t="n"/>
      <c r="F241" s="33">
        <f>IF($C241="","",IFERROR(INDEX(Setup!$D$4:$D$28,MATCH($C241,Setup!$C$4:$C$28,0)),"CHECK"))</f>
        <v/>
      </c>
      <c r="G241" s="51">
        <f>IF($A241="","",MONTH($A241))</f>
        <v/>
      </c>
    </row>
    <row r="242">
      <c r="A242" s="53" t="n"/>
      <c r="B242" s="43" t="n"/>
      <c r="C242" s="43" t="n"/>
      <c r="D242" s="54" t="n"/>
      <c r="E242" s="55" t="n"/>
      <c r="F242" s="34">
        <f>IF($C242="","",IFERROR(INDEX(Setup!$D$4:$D$28,MATCH($C242,Setup!$C$4:$C$28,0)),"CHECK"))</f>
        <v/>
      </c>
      <c r="G242" s="56">
        <f>IF($A242="","",MONTH($A242))</f>
        <v/>
      </c>
    </row>
    <row r="243">
      <c r="A243" s="48" t="n"/>
      <c r="B243" s="39" t="n"/>
      <c r="C243" s="39" t="n"/>
      <c r="D243" s="49" t="n"/>
      <c r="E243" s="50" t="n"/>
      <c r="F243" s="33">
        <f>IF($C243="","",IFERROR(INDEX(Setup!$D$4:$D$28,MATCH($C243,Setup!$C$4:$C$28,0)),"CHECK"))</f>
        <v/>
      </c>
      <c r="G243" s="51">
        <f>IF($A243="","",MONTH($A243))</f>
        <v/>
      </c>
    </row>
    <row r="244">
      <c r="A244" s="53" t="n"/>
      <c r="B244" s="43" t="n"/>
      <c r="C244" s="43" t="n"/>
      <c r="D244" s="54" t="n"/>
      <c r="E244" s="55" t="n"/>
      <c r="F244" s="34">
        <f>IF($C244="","",IFERROR(INDEX(Setup!$D$4:$D$28,MATCH($C244,Setup!$C$4:$C$28,0)),"CHECK"))</f>
        <v/>
      </c>
      <c r="G244" s="56">
        <f>IF($A244="","",MONTH($A244))</f>
        <v/>
      </c>
    </row>
    <row r="245">
      <c r="A245" s="48" t="n"/>
      <c r="B245" s="39" t="n"/>
      <c r="C245" s="39" t="n"/>
      <c r="D245" s="49" t="n"/>
      <c r="E245" s="50" t="n"/>
      <c r="F245" s="33">
        <f>IF($C245="","",IFERROR(INDEX(Setup!$D$4:$D$28,MATCH($C245,Setup!$C$4:$C$28,0)),"CHECK"))</f>
        <v/>
      </c>
      <c r="G245" s="51">
        <f>IF($A245="","",MONTH($A245))</f>
        <v/>
      </c>
    </row>
    <row r="246">
      <c r="A246" s="53" t="n"/>
      <c r="B246" s="43" t="n"/>
      <c r="C246" s="43" t="n"/>
      <c r="D246" s="54" t="n"/>
      <c r="E246" s="55" t="n"/>
      <c r="F246" s="34">
        <f>IF($C246="","",IFERROR(INDEX(Setup!$D$4:$D$28,MATCH($C246,Setup!$C$4:$C$28,0)),"CHECK"))</f>
        <v/>
      </c>
      <c r="G246" s="56">
        <f>IF($A246="","",MONTH($A246))</f>
        <v/>
      </c>
    </row>
    <row r="247">
      <c r="A247" s="48" t="n"/>
      <c r="B247" s="39" t="n"/>
      <c r="C247" s="39" t="n"/>
      <c r="D247" s="49" t="n"/>
      <c r="E247" s="50" t="n"/>
      <c r="F247" s="33">
        <f>IF($C247="","",IFERROR(INDEX(Setup!$D$4:$D$28,MATCH($C247,Setup!$C$4:$C$28,0)),"CHECK"))</f>
        <v/>
      </c>
      <c r="G247" s="51">
        <f>IF($A247="","",MONTH($A247))</f>
        <v/>
      </c>
    </row>
    <row r="248">
      <c r="A248" s="53" t="n"/>
      <c r="B248" s="43" t="n"/>
      <c r="C248" s="43" t="n"/>
      <c r="D248" s="54" t="n"/>
      <c r="E248" s="55" t="n"/>
      <c r="F248" s="34">
        <f>IF($C248="","",IFERROR(INDEX(Setup!$D$4:$D$28,MATCH($C248,Setup!$C$4:$C$28,0)),"CHECK"))</f>
        <v/>
      </c>
      <c r="G248" s="56">
        <f>IF($A248="","",MONTH($A248))</f>
        <v/>
      </c>
    </row>
    <row r="249">
      <c r="A249" s="48" t="n"/>
      <c r="B249" s="39" t="n"/>
      <c r="C249" s="39" t="n"/>
      <c r="D249" s="49" t="n"/>
      <c r="E249" s="50" t="n"/>
      <c r="F249" s="33">
        <f>IF($C249="","",IFERROR(INDEX(Setup!$D$4:$D$28,MATCH($C249,Setup!$C$4:$C$28,0)),"CHECK"))</f>
        <v/>
      </c>
      <c r="G249" s="51">
        <f>IF($A249="","",MONTH($A249))</f>
        <v/>
      </c>
    </row>
    <row r="250">
      <c r="A250" s="53" t="n"/>
      <c r="B250" s="43" t="n"/>
      <c r="C250" s="43" t="n"/>
      <c r="D250" s="54" t="n"/>
      <c r="E250" s="55" t="n"/>
      <c r="F250" s="34">
        <f>IF($C250="","",IFERROR(INDEX(Setup!$D$4:$D$28,MATCH($C250,Setup!$C$4:$C$28,0)),"CHECK"))</f>
        <v/>
      </c>
      <c r="G250" s="56">
        <f>IF($A250="","",MONTH($A250))</f>
        <v/>
      </c>
    </row>
    <row r="251">
      <c r="A251" s="48" t="n"/>
      <c r="B251" s="39" t="n"/>
      <c r="C251" s="39" t="n"/>
      <c r="D251" s="49" t="n"/>
      <c r="E251" s="50" t="n"/>
      <c r="F251" s="33">
        <f>IF($C251="","",IFERROR(INDEX(Setup!$D$4:$D$28,MATCH($C251,Setup!$C$4:$C$28,0)),"CHECK"))</f>
        <v/>
      </c>
      <c r="G251" s="51">
        <f>IF($A251="","",MONTH($A251))</f>
        <v/>
      </c>
    </row>
    <row r="252">
      <c r="A252" s="53" t="n"/>
      <c r="B252" s="43" t="n"/>
      <c r="C252" s="43" t="n"/>
      <c r="D252" s="54" t="n"/>
      <c r="E252" s="55" t="n"/>
      <c r="F252" s="34">
        <f>IF($C252="","",IFERROR(INDEX(Setup!$D$4:$D$28,MATCH($C252,Setup!$C$4:$C$28,0)),"CHECK"))</f>
        <v/>
      </c>
      <c r="G252" s="56">
        <f>IF($A252="","",MONTH($A252))</f>
        <v/>
      </c>
    </row>
    <row r="253">
      <c r="A253" s="48" t="n"/>
      <c r="B253" s="39" t="n"/>
      <c r="C253" s="39" t="n"/>
      <c r="D253" s="49" t="n"/>
      <c r="E253" s="50" t="n"/>
      <c r="F253" s="33">
        <f>IF($C253="","",IFERROR(INDEX(Setup!$D$4:$D$28,MATCH($C253,Setup!$C$4:$C$28,0)),"CHECK"))</f>
        <v/>
      </c>
      <c r="G253" s="51">
        <f>IF($A253="","",MONTH($A253))</f>
        <v/>
      </c>
    </row>
    <row r="254">
      <c r="A254" s="53" t="n"/>
      <c r="B254" s="43" t="n"/>
      <c r="C254" s="43" t="n"/>
      <c r="D254" s="54" t="n"/>
      <c r="E254" s="55" t="n"/>
      <c r="F254" s="34">
        <f>IF($C254="","",IFERROR(INDEX(Setup!$D$4:$D$28,MATCH($C254,Setup!$C$4:$C$28,0)),"CHECK"))</f>
        <v/>
      </c>
      <c r="G254" s="56">
        <f>IF($A254="","",MONTH($A254))</f>
        <v/>
      </c>
    </row>
    <row r="255">
      <c r="A255" s="48" t="n"/>
      <c r="B255" s="39" t="n"/>
      <c r="C255" s="39" t="n"/>
      <c r="D255" s="49" t="n"/>
      <c r="E255" s="50" t="n"/>
      <c r="F255" s="33">
        <f>IF($C255="","",IFERROR(INDEX(Setup!$D$4:$D$28,MATCH($C255,Setup!$C$4:$C$28,0)),"CHECK"))</f>
        <v/>
      </c>
      <c r="G255" s="51">
        <f>IF($A255="","",MONTH($A255))</f>
        <v/>
      </c>
    </row>
    <row r="256">
      <c r="A256" s="53" t="n"/>
      <c r="B256" s="43" t="n"/>
      <c r="C256" s="43" t="n"/>
      <c r="D256" s="54" t="n"/>
      <c r="E256" s="55" t="n"/>
      <c r="F256" s="34">
        <f>IF($C256="","",IFERROR(INDEX(Setup!$D$4:$D$28,MATCH($C256,Setup!$C$4:$C$28,0)),"CHECK"))</f>
        <v/>
      </c>
      <c r="G256" s="56">
        <f>IF($A256="","",MONTH($A256))</f>
        <v/>
      </c>
    </row>
    <row r="257">
      <c r="A257" s="48" t="n"/>
      <c r="B257" s="39" t="n"/>
      <c r="C257" s="39" t="n"/>
      <c r="D257" s="49" t="n"/>
      <c r="E257" s="50" t="n"/>
      <c r="F257" s="33">
        <f>IF($C257="","",IFERROR(INDEX(Setup!$D$4:$D$28,MATCH($C257,Setup!$C$4:$C$28,0)),"CHECK"))</f>
        <v/>
      </c>
      <c r="G257" s="51">
        <f>IF($A257="","",MONTH($A257))</f>
        <v/>
      </c>
    </row>
    <row r="258">
      <c r="A258" s="53" t="n"/>
      <c r="B258" s="43" t="n"/>
      <c r="C258" s="43" t="n"/>
      <c r="D258" s="54" t="n"/>
      <c r="E258" s="55" t="n"/>
      <c r="F258" s="34">
        <f>IF($C258="","",IFERROR(INDEX(Setup!$D$4:$D$28,MATCH($C258,Setup!$C$4:$C$28,0)),"CHECK"))</f>
        <v/>
      </c>
      <c r="G258" s="56">
        <f>IF($A258="","",MONTH($A258))</f>
        <v/>
      </c>
    </row>
    <row r="259">
      <c r="A259" s="48" t="n"/>
      <c r="B259" s="39" t="n"/>
      <c r="C259" s="39" t="n"/>
      <c r="D259" s="49" t="n"/>
      <c r="E259" s="50" t="n"/>
      <c r="F259" s="33">
        <f>IF($C259="","",IFERROR(INDEX(Setup!$D$4:$D$28,MATCH($C259,Setup!$C$4:$C$28,0)),"CHECK"))</f>
        <v/>
      </c>
      <c r="G259" s="51">
        <f>IF($A259="","",MONTH($A259))</f>
        <v/>
      </c>
    </row>
    <row r="260">
      <c r="A260" s="53" t="n"/>
      <c r="B260" s="43" t="n"/>
      <c r="C260" s="43" t="n"/>
      <c r="D260" s="54" t="n"/>
      <c r="E260" s="55" t="n"/>
      <c r="F260" s="34">
        <f>IF($C260="","",IFERROR(INDEX(Setup!$D$4:$D$28,MATCH($C260,Setup!$C$4:$C$28,0)),"CHECK"))</f>
        <v/>
      </c>
      <c r="G260" s="56">
        <f>IF($A260="","",MONTH($A260))</f>
        <v/>
      </c>
    </row>
    <row r="261">
      <c r="A261" s="48" t="n"/>
      <c r="B261" s="39" t="n"/>
      <c r="C261" s="39" t="n"/>
      <c r="D261" s="49" t="n"/>
      <c r="E261" s="50" t="n"/>
      <c r="F261" s="33">
        <f>IF($C261="","",IFERROR(INDEX(Setup!$D$4:$D$28,MATCH($C261,Setup!$C$4:$C$28,0)),"CHECK"))</f>
        <v/>
      </c>
      <c r="G261" s="51">
        <f>IF($A261="","",MONTH($A261))</f>
        <v/>
      </c>
    </row>
    <row r="262">
      <c r="A262" s="53" t="n"/>
      <c r="B262" s="43" t="n"/>
      <c r="C262" s="43" t="n"/>
      <c r="D262" s="54" t="n"/>
      <c r="E262" s="55" t="n"/>
      <c r="F262" s="34">
        <f>IF($C262="","",IFERROR(INDEX(Setup!$D$4:$D$28,MATCH($C262,Setup!$C$4:$C$28,0)),"CHECK"))</f>
        <v/>
      </c>
      <c r="G262" s="56">
        <f>IF($A262="","",MONTH($A262))</f>
        <v/>
      </c>
    </row>
    <row r="263">
      <c r="A263" s="48" t="n"/>
      <c r="B263" s="39" t="n"/>
      <c r="C263" s="39" t="n"/>
      <c r="D263" s="49" t="n"/>
      <c r="E263" s="50" t="n"/>
      <c r="F263" s="33">
        <f>IF($C263="","",IFERROR(INDEX(Setup!$D$4:$D$28,MATCH($C263,Setup!$C$4:$C$28,0)),"CHECK"))</f>
        <v/>
      </c>
      <c r="G263" s="51">
        <f>IF($A263="","",MONTH($A263))</f>
        <v/>
      </c>
    </row>
    <row r="264">
      <c r="A264" s="53" t="n"/>
      <c r="B264" s="43" t="n"/>
      <c r="C264" s="43" t="n"/>
      <c r="D264" s="54" t="n"/>
      <c r="E264" s="55" t="n"/>
      <c r="F264" s="34">
        <f>IF($C264="","",IFERROR(INDEX(Setup!$D$4:$D$28,MATCH($C264,Setup!$C$4:$C$28,0)),"CHECK"))</f>
        <v/>
      </c>
      <c r="G264" s="56">
        <f>IF($A264="","",MONTH($A264))</f>
        <v/>
      </c>
    </row>
    <row r="265">
      <c r="A265" s="48" t="n"/>
      <c r="B265" s="39" t="n"/>
      <c r="C265" s="39" t="n"/>
      <c r="D265" s="49" t="n"/>
      <c r="E265" s="50" t="n"/>
      <c r="F265" s="33">
        <f>IF($C265="","",IFERROR(INDEX(Setup!$D$4:$D$28,MATCH($C265,Setup!$C$4:$C$28,0)),"CHECK"))</f>
        <v/>
      </c>
      <c r="G265" s="51">
        <f>IF($A265="","",MONTH($A265))</f>
        <v/>
      </c>
    </row>
    <row r="266">
      <c r="A266" s="53" t="n"/>
      <c r="B266" s="43" t="n"/>
      <c r="C266" s="43" t="n"/>
      <c r="D266" s="54" t="n"/>
      <c r="E266" s="55" t="n"/>
      <c r="F266" s="34">
        <f>IF($C266="","",IFERROR(INDEX(Setup!$D$4:$D$28,MATCH($C266,Setup!$C$4:$C$28,0)),"CHECK"))</f>
        <v/>
      </c>
      <c r="G266" s="56">
        <f>IF($A266="","",MONTH($A266))</f>
        <v/>
      </c>
    </row>
    <row r="267">
      <c r="A267" s="48" t="n"/>
      <c r="B267" s="39" t="n"/>
      <c r="C267" s="39" t="n"/>
      <c r="D267" s="49" t="n"/>
      <c r="E267" s="50" t="n"/>
      <c r="F267" s="33">
        <f>IF($C267="","",IFERROR(INDEX(Setup!$D$4:$D$28,MATCH($C267,Setup!$C$4:$C$28,0)),"CHECK"))</f>
        <v/>
      </c>
      <c r="G267" s="51">
        <f>IF($A267="","",MONTH($A267))</f>
        <v/>
      </c>
    </row>
    <row r="268">
      <c r="A268" s="53" t="n"/>
      <c r="B268" s="43" t="n"/>
      <c r="C268" s="43" t="n"/>
      <c r="D268" s="54" t="n"/>
      <c r="E268" s="55" t="n"/>
      <c r="F268" s="34">
        <f>IF($C268="","",IFERROR(INDEX(Setup!$D$4:$D$28,MATCH($C268,Setup!$C$4:$C$28,0)),"CHECK"))</f>
        <v/>
      </c>
      <c r="G268" s="56">
        <f>IF($A268="","",MONTH($A268))</f>
        <v/>
      </c>
    </row>
    <row r="269">
      <c r="A269" s="48" t="n"/>
      <c r="B269" s="39" t="n"/>
      <c r="C269" s="39" t="n"/>
      <c r="D269" s="49" t="n"/>
      <c r="E269" s="50" t="n"/>
      <c r="F269" s="33">
        <f>IF($C269="","",IFERROR(INDEX(Setup!$D$4:$D$28,MATCH($C269,Setup!$C$4:$C$28,0)),"CHECK"))</f>
        <v/>
      </c>
      <c r="G269" s="51">
        <f>IF($A269="","",MONTH($A269))</f>
        <v/>
      </c>
    </row>
    <row r="270">
      <c r="A270" s="53" t="n"/>
      <c r="B270" s="43" t="n"/>
      <c r="C270" s="43" t="n"/>
      <c r="D270" s="54" t="n"/>
      <c r="E270" s="55" t="n"/>
      <c r="F270" s="34">
        <f>IF($C270="","",IFERROR(INDEX(Setup!$D$4:$D$28,MATCH($C270,Setup!$C$4:$C$28,0)),"CHECK"))</f>
        <v/>
      </c>
      <c r="G270" s="56">
        <f>IF($A270="","",MONTH($A270))</f>
        <v/>
      </c>
    </row>
    <row r="271">
      <c r="A271" s="48" t="n"/>
      <c r="B271" s="39" t="n"/>
      <c r="C271" s="39" t="n"/>
      <c r="D271" s="49" t="n"/>
      <c r="E271" s="50" t="n"/>
      <c r="F271" s="33">
        <f>IF($C271="","",IFERROR(INDEX(Setup!$D$4:$D$28,MATCH($C271,Setup!$C$4:$C$28,0)),"CHECK"))</f>
        <v/>
      </c>
      <c r="G271" s="51">
        <f>IF($A271="","",MONTH($A271))</f>
        <v/>
      </c>
    </row>
    <row r="272">
      <c r="A272" s="53" t="n"/>
      <c r="B272" s="43" t="n"/>
      <c r="C272" s="43" t="n"/>
      <c r="D272" s="54" t="n"/>
      <c r="E272" s="55" t="n"/>
      <c r="F272" s="34">
        <f>IF($C272="","",IFERROR(INDEX(Setup!$D$4:$D$28,MATCH($C272,Setup!$C$4:$C$28,0)),"CHECK"))</f>
        <v/>
      </c>
      <c r="G272" s="56">
        <f>IF($A272="","",MONTH($A272))</f>
        <v/>
      </c>
    </row>
    <row r="273">
      <c r="A273" s="48" t="n"/>
      <c r="B273" s="39" t="n"/>
      <c r="C273" s="39" t="n"/>
      <c r="D273" s="49" t="n"/>
      <c r="E273" s="50" t="n"/>
      <c r="F273" s="33">
        <f>IF($C273="","",IFERROR(INDEX(Setup!$D$4:$D$28,MATCH($C273,Setup!$C$4:$C$28,0)),"CHECK"))</f>
        <v/>
      </c>
      <c r="G273" s="51">
        <f>IF($A273="","",MONTH($A273))</f>
        <v/>
      </c>
    </row>
    <row r="274">
      <c r="A274" s="53" t="n"/>
      <c r="B274" s="43" t="n"/>
      <c r="C274" s="43" t="n"/>
      <c r="D274" s="54" t="n"/>
      <c r="E274" s="55" t="n"/>
      <c r="F274" s="34">
        <f>IF($C274="","",IFERROR(INDEX(Setup!$D$4:$D$28,MATCH($C274,Setup!$C$4:$C$28,0)),"CHECK"))</f>
        <v/>
      </c>
      <c r="G274" s="56">
        <f>IF($A274="","",MONTH($A274))</f>
        <v/>
      </c>
    </row>
    <row r="275">
      <c r="A275" s="48" t="n"/>
      <c r="B275" s="39" t="n"/>
      <c r="C275" s="39" t="n"/>
      <c r="D275" s="49" t="n"/>
      <c r="E275" s="50" t="n"/>
      <c r="F275" s="33">
        <f>IF($C275="","",IFERROR(INDEX(Setup!$D$4:$D$28,MATCH($C275,Setup!$C$4:$C$28,0)),"CHECK"))</f>
        <v/>
      </c>
      <c r="G275" s="51">
        <f>IF($A275="","",MONTH($A275))</f>
        <v/>
      </c>
    </row>
    <row r="276">
      <c r="A276" s="53" t="n"/>
      <c r="B276" s="43" t="n"/>
      <c r="C276" s="43" t="n"/>
      <c r="D276" s="54" t="n"/>
      <c r="E276" s="55" t="n"/>
      <c r="F276" s="34">
        <f>IF($C276="","",IFERROR(INDEX(Setup!$D$4:$D$28,MATCH($C276,Setup!$C$4:$C$28,0)),"CHECK"))</f>
        <v/>
      </c>
      <c r="G276" s="56">
        <f>IF($A276="","",MONTH($A276))</f>
        <v/>
      </c>
    </row>
    <row r="277">
      <c r="A277" s="48" t="n"/>
      <c r="B277" s="39" t="n"/>
      <c r="C277" s="39" t="n"/>
      <c r="D277" s="49" t="n"/>
      <c r="E277" s="50" t="n"/>
      <c r="F277" s="33">
        <f>IF($C277="","",IFERROR(INDEX(Setup!$D$4:$D$28,MATCH($C277,Setup!$C$4:$C$28,0)),"CHECK"))</f>
        <v/>
      </c>
      <c r="G277" s="51">
        <f>IF($A277="","",MONTH($A277))</f>
        <v/>
      </c>
    </row>
    <row r="278">
      <c r="A278" s="53" t="n"/>
      <c r="B278" s="43" t="n"/>
      <c r="C278" s="43" t="n"/>
      <c r="D278" s="54" t="n"/>
      <c r="E278" s="55" t="n"/>
      <c r="F278" s="34">
        <f>IF($C278="","",IFERROR(INDEX(Setup!$D$4:$D$28,MATCH($C278,Setup!$C$4:$C$28,0)),"CHECK"))</f>
        <v/>
      </c>
      <c r="G278" s="56">
        <f>IF($A278="","",MONTH($A278))</f>
        <v/>
      </c>
    </row>
    <row r="279">
      <c r="A279" s="48" t="n"/>
      <c r="B279" s="39" t="n"/>
      <c r="C279" s="39" t="n"/>
      <c r="D279" s="49" t="n"/>
      <c r="E279" s="50" t="n"/>
      <c r="F279" s="33">
        <f>IF($C279="","",IFERROR(INDEX(Setup!$D$4:$D$28,MATCH($C279,Setup!$C$4:$C$28,0)),"CHECK"))</f>
        <v/>
      </c>
      <c r="G279" s="51">
        <f>IF($A279="","",MONTH($A279))</f>
        <v/>
      </c>
    </row>
    <row r="280">
      <c r="A280" s="53" t="n"/>
      <c r="B280" s="43" t="n"/>
      <c r="C280" s="43" t="n"/>
      <c r="D280" s="54" t="n"/>
      <c r="E280" s="55" t="n"/>
      <c r="F280" s="34">
        <f>IF($C280="","",IFERROR(INDEX(Setup!$D$4:$D$28,MATCH($C280,Setup!$C$4:$C$28,0)),"CHECK"))</f>
        <v/>
      </c>
      <c r="G280" s="56">
        <f>IF($A280="","",MONTH($A280))</f>
        <v/>
      </c>
    </row>
    <row r="281">
      <c r="A281" s="48" t="n"/>
      <c r="B281" s="39" t="n"/>
      <c r="C281" s="39" t="n"/>
      <c r="D281" s="49" t="n"/>
      <c r="E281" s="50" t="n"/>
      <c r="F281" s="33">
        <f>IF($C281="","",IFERROR(INDEX(Setup!$D$4:$D$28,MATCH($C281,Setup!$C$4:$C$28,0)),"CHECK"))</f>
        <v/>
      </c>
      <c r="G281" s="51">
        <f>IF($A281="","",MONTH($A281))</f>
        <v/>
      </c>
    </row>
    <row r="282">
      <c r="A282" s="53" t="n"/>
      <c r="B282" s="43" t="n"/>
      <c r="C282" s="43" t="n"/>
      <c r="D282" s="54" t="n"/>
      <c r="E282" s="55" t="n"/>
      <c r="F282" s="34">
        <f>IF($C282="","",IFERROR(INDEX(Setup!$D$4:$D$28,MATCH($C282,Setup!$C$4:$C$28,0)),"CHECK"))</f>
        <v/>
      </c>
      <c r="G282" s="56">
        <f>IF($A282="","",MONTH($A282))</f>
        <v/>
      </c>
    </row>
    <row r="283">
      <c r="A283" s="48" t="n"/>
      <c r="B283" s="39" t="n"/>
      <c r="C283" s="39" t="n"/>
      <c r="D283" s="49" t="n"/>
      <c r="E283" s="50" t="n"/>
      <c r="F283" s="33">
        <f>IF($C283="","",IFERROR(INDEX(Setup!$D$4:$D$28,MATCH($C283,Setup!$C$4:$C$28,0)),"CHECK"))</f>
        <v/>
      </c>
      <c r="G283" s="51">
        <f>IF($A283="","",MONTH($A283))</f>
        <v/>
      </c>
    </row>
    <row r="284">
      <c r="A284" s="53" t="n"/>
      <c r="B284" s="43" t="n"/>
      <c r="C284" s="43" t="n"/>
      <c r="D284" s="54" t="n"/>
      <c r="E284" s="55" t="n"/>
      <c r="F284" s="34">
        <f>IF($C284="","",IFERROR(INDEX(Setup!$D$4:$D$28,MATCH($C284,Setup!$C$4:$C$28,0)),"CHECK"))</f>
        <v/>
      </c>
      <c r="G284" s="56">
        <f>IF($A284="","",MONTH($A284))</f>
        <v/>
      </c>
    </row>
    <row r="285">
      <c r="A285" s="48" t="n"/>
      <c r="B285" s="39" t="n"/>
      <c r="C285" s="39" t="n"/>
      <c r="D285" s="49" t="n"/>
      <c r="E285" s="50" t="n"/>
      <c r="F285" s="33">
        <f>IF($C285="","",IFERROR(INDEX(Setup!$D$4:$D$28,MATCH($C285,Setup!$C$4:$C$28,0)),"CHECK"))</f>
        <v/>
      </c>
      <c r="G285" s="51">
        <f>IF($A285="","",MONTH($A285))</f>
        <v/>
      </c>
    </row>
    <row r="286">
      <c r="A286" s="53" t="n"/>
      <c r="B286" s="43" t="n"/>
      <c r="C286" s="43" t="n"/>
      <c r="D286" s="54" t="n"/>
      <c r="E286" s="55" t="n"/>
      <c r="F286" s="34">
        <f>IF($C286="","",IFERROR(INDEX(Setup!$D$4:$D$28,MATCH($C286,Setup!$C$4:$C$28,0)),"CHECK"))</f>
        <v/>
      </c>
      <c r="G286" s="56">
        <f>IF($A286="","",MONTH($A286))</f>
        <v/>
      </c>
    </row>
    <row r="287">
      <c r="A287" s="48" t="n"/>
      <c r="B287" s="39" t="n"/>
      <c r="C287" s="39" t="n"/>
      <c r="D287" s="49" t="n"/>
      <c r="E287" s="50" t="n"/>
      <c r="F287" s="33">
        <f>IF($C287="","",IFERROR(INDEX(Setup!$D$4:$D$28,MATCH($C287,Setup!$C$4:$C$28,0)),"CHECK"))</f>
        <v/>
      </c>
      <c r="G287" s="51">
        <f>IF($A287="","",MONTH($A287))</f>
        <v/>
      </c>
    </row>
    <row r="288">
      <c r="A288" s="53" t="n"/>
      <c r="B288" s="43" t="n"/>
      <c r="C288" s="43" t="n"/>
      <c r="D288" s="54" t="n"/>
      <c r="E288" s="55" t="n"/>
      <c r="F288" s="34">
        <f>IF($C288="","",IFERROR(INDEX(Setup!$D$4:$D$28,MATCH($C288,Setup!$C$4:$C$28,0)),"CHECK"))</f>
        <v/>
      </c>
      <c r="G288" s="56">
        <f>IF($A288="","",MONTH($A288))</f>
        <v/>
      </c>
    </row>
    <row r="289">
      <c r="A289" s="48" t="n"/>
      <c r="B289" s="39" t="n"/>
      <c r="C289" s="39" t="n"/>
      <c r="D289" s="49" t="n"/>
      <c r="E289" s="50" t="n"/>
      <c r="F289" s="33">
        <f>IF($C289="","",IFERROR(INDEX(Setup!$D$4:$D$28,MATCH($C289,Setup!$C$4:$C$28,0)),"CHECK"))</f>
        <v/>
      </c>
      <c r="G289" s="51">
        <f>IF($A289="","",MONTH($A289))</f>
        <v/>
      </c>
    </row>
    <row r="290">
      <c r="A290" s="53" t="n"/>
      <c r="B290" s="43" t="n"/>
      <c r="C290" s="43" t="n"/>
      <c r="D290" s="54" t="n"/>
      <c r="E290" s="55" t="n"/>
      <c r="F290" s="34">
        <f>IF($C290="","",IFERROR(INDEX(Setup!$D$4:$D$28,MATCH($C290,Setup!$C$4:$C$28,0)),"CHECK"))</f>
        <v/>
      </c>
      <c r="G290" s="56">
        <f>IF($A290="","",MONTH($A290))</f>
        <v/>
      </c>
    </row>
    <row r="291">
      <c r="A291" s="48" t="n"/>
      <c r="B291" s="39" t="n"/>
      <c r="C291" s="39" t="n"/>
      <c r="D291" s="49" t="n"/>
      <c r="E291" s="50" t="n"/>
      <c r="F291" s="33">
        <f>IF($C291="","",IFERROR(INDEX(Setup!$D$4:$D$28,MATCH($C291,Setup!$C$4:$C$28,0)),"CHECK"))</f>
        <v/>
      </c>
      <c r="G291" s="51">
        <f>IF($A291="","",MONTH($A291))</f>
        <v/>
      </c>
    </row>
    <row r="292">
      <c r="A292" s="53" t="n"/>
      <c r="B292" s="43" t="n"/>
      <c r="C292" s="43" t="n"/>
      <c r="D292" s="54" t="n"/>
      <c r="E292" s="55" t="n"/>
      <c r="F292" s="34">
        <f>IF($C292="","",IFERROR(INDEX(Setup!$D$4:$D$28,MATCH($C292,Setup!$C$4:$C$28,0)),"CHECK"))</f>
        <v/>
      </c>
      <c r="G292" s="56">
        <f>IF($A292="","",MONTH($A292))</f>
        <v/>
      </c>
    </row>
    <row r="293">
      <c r="A293" s="48" t="n"/>
      <c r="B293" s="39" t="n"/>
      <c r="C293" s="39" t="n"/>
      <c r="D293" s="49" t="n"/>
      <c r="E293" s="50" t="n"/>
      <c r="F293" s="33">
        <f>IF($C293="","",IFERROR(INDEX(Setup!$D$4:$D$28,MATCH($C293,Setup!$C$4:$C$28,0)),"CHECK"))</f>
        <v/>
      </c>
      <c r="G293" s="51">
        <f>IF($A293="","",MONTH($A293))</f>
        <v/>
      </c>
    </row>
    <row r="294">
      <c r="A294" s="53" t="n"/>
      <c r="B294" s="43" t="n"/>
      <c r="C294" s="43" t="n"/>
      <c r="D294" s="54" t="n"/>
      <c r="E294" s="55" t="n"/>
      <c r="F294" s="34">
        <f>IF($C294="","",IFERROR(INDEX(Setup!$D$4:$D$28,MATCH($C294,Setup!$C$4:$C$28,0)),"CHECK"))</f>
        <v/>
      </c>
      <c r="G294" s="56">
        <f>IF($A294="","",MONTH($A294))</f>
        <v/>
      </c>
    </row>
    <row r="295">
      <c r="A295" s="48" t="n"/>
      <c r="B295" s="39" t="n"/>
      <c r="C295" s="39" t="n"/>
      <c r="D295" s="49" t="n"/>
      <c r="E295" s="50" t="n"/>
      <c r="F295" s="33">
        <f>IF($C295="","",IFERROR(INDEX(Setup!$D$4:$D$28,MATCH($C295,Setup!$C$4:$C$28,0)),"CHECK"))</f>
        <v/>
      </c>
      <c r="G295" s="51">
        <f>IF($A295="","",MONTH($A295))</f>
        <v/>
      </c>
    </row>
    <row r="296">
      <c r="A296" s="53" t="n"/>
      <c r="B296" s="43" t="n"/>
      <c r="C296" s="43" t="n"/>
      <c r="D296" s="54" t="n"/>
      <c r="E296" s="55" t="n"/>
      <c r="F296" s="34">
        <f>IF($C296="","",IFERROR(INDEX(Setup!$D$4:$D$28,MATCH($C296,Setup!$C$4:$C$28,0)),"CHECK"))</f>
        <v/>
      </c>
      <c r="G296" s="56">
        <f>IF($A296="","",MONTH($A296))</f>
        <v/>
      </c>
    </row>
    <row r="297">
      <c r="A297" s="48" t="n"/>
      <c r="B297" s="39" t="n"/>
      <c r="C297" s="39" t="n"/>
      <c r="D297" s="49" t="n"/>
      <c r="E297" s="50" t="n"/>
      <c r="F297" s="33">
        <f>IF($C297="","",IFERROR(INDEX(Setup!$D$4:$D$28,MATCH($C297,Setup!$C$4:$C$28,0)),"CHECK"))</f>
        <v/>
      </c>
      <c r="G297" s="51">
        <f>IF($A297="","",MONTH($A297))</f>
        <v/>
      </c>
    </row>
    <row r="298">
      <c r="A298" s="53" t="n"/>
      <c r="B298" s="43" t="n"/>
      <c r="C298" s="43" t="n"/>
      <c r="D298" s="54" t="n"/>
      <c r="E298" s="55" t="n"/>
      <c r="F298" s="34">
        <f>IF($C298="","",IFERROR(INDEX(Setup!$D$4:$D$28,MATCH($C298,Setup!$C$4:$C$28,0)),"CHECK"))</f>
        <v/>
      </c>
      <c r="G298" s="56">
        <f>IF($A298="","",MONTH($A298))</f>
        <v/>
      </c>
    </row>
    <row r="299">
      <c r="A299" s="48" t="n"/>
      <c r="B299" s="39" t="n"/>
      <c r="C299" s="39" t="n"/>
      <c r="D299" s="49" t="n"/>
      <c r="E299" s="50" t="n"/>
      <c r="F299" s="33">
        <f>IF($C299="","",IFERROR(INDEX(Setup!$D$4:$D$28,MATCH($C299,Setup!$C$4:$C$28,0)),"CHECK"))</f>
        <v/>
      </c>
      <c r="G299" s="51">
        <f>IF($A299="","",MONTH($A299))</f>
        <v/>
      </c>
    </row>
    <row r="300">
      <c r="A300" s="53" t="n"/>
      <c r="B300" s="43" t="n"/>
      <c r="C300" s="43" t="n"/>
      <c r="D300" s="54" t="n"/>
      <c r="E300" s="55" t="n"/>
      <c r="F300" s="34">
        <f>IF($C300="","",IFERROR(INDEX(Setup!$D$4:$D$28,MATCH($C300,Setup!$C$4:$C$28,0)),"CHECK"))</f>
        <v/>
      </c>
      <c r="G300" s="56">
        <f>IF($A300="","",MONTH($A300))</f>
        <v/>
      </c>
    </row>
    <row r="301">
      <c r="A301" s="48" t="n"/>
      <c r="B301" s="39" t="n"/>
      <c r="C301" s="39" t="n"/>
      <c r="D301" s="49" t="n"/>
      <c r="E301" s="50" t="n"/>
      <c r="F301" s="33">
        <f>IF($C301="","",IFERROR(INDEX(Setup!$D$4:$D$28,MATCH($C301,Setup!$C$4:$C$28,0)),"CHECK"))</f>
        <v/>
      </c>
      <c r="G301" s="51">
        <f>IF($A301="","",MONTH($A301))</f>
        <v/>
      </c>
    </row>
    <row r="302">
      <c r="A302" s="53" t="n"/>
      <c r="B302" s="43" t="n"/>
      <c r="C302" s="43" t="n"/>
      <c r="D302" s="54" t="n"/>
      <c r="E302" s="55" t="n"/>
      <c r="F302" s="34">
        <f>IF($C302="","",IFERROR(INDEX(Setup!$D$4:$D$28,MATCH($C302,Setup!$C$4:$C$28,0)),"CHECK"))</f>
        <v/>
      </c>
      <c r="G302" s="56">
        <f>IF($A302="","",MONTH($A302))</f>
        <v/>
      </c>
    </row>
    <row r="303">
      <c r="A303" s="48" t="n"/>
      <c r="B303" s="39" t="n"/>
      <c r="C303" s="39" t="n"/>
      <c r="D303" s="49" t="n"/>
      <c r="E303" s="50" t="n"/>
      <c r="F303" s="33">
        <f>IF($C303="","",IFERROR(INDEX(Setup!$D$4:$D$28,MATCH($C303,Setup!$C$4:$C$28,0)),"CHECK"))</f>
        <v/>
      </c>
      <c r="G303" s="51">
        <f>IF($A303="","",MONTH($A303))</f>
        <v/>
      </c>
    </row>
    <row r="304">
      <c r="A304" s="53" t="n"/>
      <c r="B304" s="43" t="n"/>
      <c r="C304" s="43" t="n"/>
      <c r="D304" s="54" t="n"/>
      <c r="E304" s="55" t="n"/>
      <c r="F304" s="34">
        <f>IF($C304="","",IFERROR(INDEX(Setup!$D$4:$D$28,MATCH($C304,Setup!$C$4:$C$28,0)),"CHECK"))</f>
        <v/>
      </c>
      <c r="G304" s="56">
        <f>IF($A304="","",MONTH($A304))</f>
        <v/>
      </c>
    </row>
    <row r="305">
      <c r="A305" s="48" t="n"/>
      <c r="B305" s="39" t="n"/>
      <c r="C305" s="39" t="n"/>
      <c r="D305" s="49" t="n"/>
      <c r="E305" s="50" t="n"/>
      <c r="F305" s="33">
        <f>IF($C305="","",IFERROR(INDEX(Setup!$D$4:$D$28,MATCH($C305,Setup!$C$4:$C$28,0)),"CHECK"))</f>
        <v/>
      </c>
      <c r="G305" s="51">
        <f>IF($A305="","",MONTH($A305))</f>
        <v/>
      </c>
    </row>
    <row r="306">
      <c r="A306" s="53" t="n"/>
      <c r="B306" s="43" t="n"/>
      <c r="C306" s="43" t="n"/>
      <c r="D306" s="54" t="n"/>
      <c r="E306" s="55" t="n"/>
      <c r="F306" s="34">
        <f>IF($C306="","",IFERROR(INDEX(Setup!$D$4:$D$28,MATCH($C306,Setup!$C$4:$C$28,0)),"CHECK"))</f>
        <v/>
      </c>
      <c r="G306" s="56">
        <f>IF($A306="","",MONTH($A306))</f>
        <v/>
      </c>
    </row>
    <row r="307">
      <c r="A307" s="48" t="n"/>
      <c r="B307" s="39" t="n"/>
      <c r="C307" s="39" t="n"/>
      <c r="D307" s="49" t="n"/>
      <c r="E307" s="50" t="n"/>
      <c r="F307" s="33">
        <f>IF($C307="","",IFERROR(INDEX(Setup!$D$4:$D$28,MATCH($C307,Setup!$C$4:$C$28,0)),"CHECK"))</f>
        <v/>
      </c>
      <c r="G307" s="51">
        <f>IF($A307="","",MONTH($A307))</f>
        <v/>
      </c>
    </row>
    <row r="308">
      <c r="A308" s="53" t="n"/>
      <c r="B308" s="43" t="n"/>
      <c r="C308" s="43" t="n"/>
      <c r="D308" s="54" t="n"/>
      <c r="E308" s="55" t="n"/>
      <c r="F308" s="34">
        <f>IF($C308="","",IFERROR(INDEX(Setup!$D$4:$D$28,MATCH($C308,Setup!$C$4:$C$28,0)),"CHECK"))</f>
        <v/>
      </c>
      <c r="G308" s="56">
        <f>IF($A308="","",MONTH($A308))</f>
        <v/>
      </c>
    </row>
    <row r="309">
      <c r="A309" s="48" t="n"/>
      <c r="B309" s="39" t="n"/>
      <c r="C309" s="39" t="n"/>
      <c r="D309" s="49" t="n"/>
      <c r="E309" s="50" t="n"/>
      <c r="F309" s="33">
        <f>IF($C309="","",IFERROR(INDEX(Setup!$D$4:$D$28,MATCH($C309,Setup!$C$4:$C$28,0)),"CHECK"))</f>
        <v/>
      </c>
      <c r="G309" s="51">
        <f>IF($A309="","",MONTH($A309))</f>
        <v/>
      </c>
    </row>
    <row r="310">
      <c r="A310" s="53" t="n"/>
      <c r="B310" s="43" t="n"/>
      <c r="C310" s="43" t="n"/>
      <c r="D310" s="54" t="n"/>
      <c r="E310" s="55" t="n"/>
      <c r="F310" s="34">
        <f>IF($C310="","",IFERROR(INDEX(Setup!$D$4:$D$28,MATCH($C310,Setup!$C$4:$C$28,0)),"CHECK"))</f>
        <v/>
      </c>
      <c r="G310" s="56">
        <f>IF($A310="","",MONTH($A310))</f>
        <v/>
      </c>
    </row>
    <row r="311">
      <c r="A311" s="48" t="n"/>
      <c r="B311" s="39" t="n"/>
      <c r="C311" s="39" t="n"/>
      <c r="D311" s="49" t="n"/>
      <c r="E311" s="50" t="n"/>
      <c r="F311" s="33">
        <f>IF($C311="","",IFERROR(INDEX(Setup!$D$4:$D$28,MATCH($C311,Setup!$C$4:$C$28,0)),"CHECK"))</f>
        <v/>
      </c>
      <c r="G311" s="51">
        <f>IF($A311="","",MONTH($A311))</f>
        <v/>
      </c>
    </row>
    <row r="312">
      <c r="A312" s="53" t="n"/>
      <c r="B312" s="43" t="n"/>
      <c r="C312" s="43" t="n"/>
      <c r="D312" s="54" t="n"/>
      <c r="E312" s="55" t="n"/>
      <c r="F312" s="34">
        <f>IF($C312="","",IFERROR(INDEX(Setup!$D$4:$D$28,MATCH($C312,Setup!$C$4:$C$28,0)),"CHECK"))</f>
        <v/>
      </c>
      <c r="G312" s="56">
        <f>IF($A312="","",MONTH($A312))</f>
        <v/>
      </c>
    </row>
    <row r="313">
      <c r="A313" s="48" t="n"/>
      <c r="B313" s="39" t="n"/>
      <c r="C313" s="39" t="n"/>
      <c r="D313" s="49" t="n"/>
      <c r="E313" s="50" t="n"/>
      <c r="F313" s="33">
        <f>IF($C313="","",IFERROR(INDEX(Setup!$D$4:$D$28,MATCH($C313,Setup!$C$4:$C$28,0)),"CHECK"))</f>
        <v/>
      </c>
      <c r="G313" s="51">
        <f>IF($A313="","",MONTH($A313))</f>
        <v/>
      </c>
    </row>
    <row r="314">
      <c r="A314" s="53" t="n"/>
      <c r="B314" s="43" t="n"/>
      <c r="C314" s="43" t="n"/>
      <c r="D314" s="54" t="n"/>
      <c r="E314" s="55" t="n"/>
      <c r="F314" s="34">
        <f>IF($C314="","",IFERROR(INDEX(Setup!$D$4:$D$28,MATCH($C314,Setup!$C$4:$C$28,0)),"CHECK"))</f>
        <v/>
      </c>
      <c r="G314" s="56">
        <f>IF($A314="","",MONTH($A314))</f>
        <v/>
      </c>
    </row>
    <row r="315">
      <c r="A315" s="48" t="n"/>
      <c r="B315" s="39" t="n"/>
      <c r="C315" s="39" t="n"/>
      <c r="D315" s="49" t="n"/>
      <c r="E315" s="50" t="n"/>
      <c r="F315" s="33">
        <f>IF($C315="","",IFERROR(INDEX(Setup!$D$4:$D$28,MATCH($C315,Setup!$C$4:$C$28,0)),"CHECK"))</f>
        <v/>
      </c>
      <c r="G315" s="51">
        <f>IF($A315="","",MONTH($A315))</f>
        <v/>
      </c>
    </row>
    <row r="316">
      <c r="A316" s="53" t="n"/>
      <c r="B316" s="43" t="n"/>
      <c r="C316" s="43" t="n"/>
      <c r="D316" s="54" t="n"/>
      <c r="E316" s="55" t="n"/>
      <c r="F316" s="34">
        <f>IF($C316="","",IFERROR(INDEX(Setup!$D$4:$D$28,MATCH($C316,Setup!$C$4:$C$28,0)),"CHECK"))</f>
        <v/>
      </c>
      <c r="G316" s="56">
        <f>IF($A316="","",MONTH($A316))</f>
        <v/>
      </c>
    </row>
    <row r="317">
      <c r="A317" s="48" t="n"/>
      <c r="B317" s="39" t="n"/>
      <c r="C317" s="39" t="n"/>
      <c r="D317" s="49" t="n"/>
      <c r="E317" s="50" t="n"/>
      <c r="F317" s="33">
        <f>IF($C317="","",IFERROR(INDEX(Setup!$D$4:$D$28,MATCH($C317,Setup!$C$4:$C$28,0)),"CHECK"))</f>
        <v/>
      </c>
      <c r="G317" s="51">
        <f>IF($A317="","",MONTH($A317))</f>
        <v/>
      </c>
    </row>
    <row r="318">
      <c r="A318" s="53" t="n"/>
      <c r="B318" s="43" t="n"/>
      <c r="C318" s="43" t="n"/>
      <c r="D318" s="54" t="n"/>
      <c r="E318" s="55" t="n"/>
      <c r="F318" s="34">
        <f>IF($C318="","",IFERROR(INDEX(Setup!$D$4:$D$28,MATCH($C318,Setup!$C$4:$C$28,0)),"CHECK"))</f>
        <v/>
      </c>
      <c r="G318" s="56">
        <f>IF($A318="","",MONTH($A318))</f>
        <v/>
      </c>
    </row>
    <row r="319">
      <c r="A319" s="48" t="n"/>
      <c r="B319" s="39" t="n"/>
      <c r="C319" s="39" t="n"/>
      <c r="D319" s="49" t="n"/>
      <c r="E319" s="50" t="n"/>
      <c r="F319" s="33">
        <f>IF($C319="","",IFERROR(INDEX(Setup!$D$4:$D$28,MATCH($C319,Setup!$C$4:$C$28,0)),"CHECK"))</f>
        <v/>
      </c>
      <c r="G319" s="51">
        <f>IF($A319="","",MONTH($A319))</f>
        <v/>
      </c>
    </row>
    <row r="320">
      <c r="A320" s="53" t="n"/>
      <c r="B320" s="43" t="n"/>
      <c r="C320" s="43" t="n"/>
      <c r="D320" s="54" t="n"/>
      <c r="E320" s="55" t="n"/>
      <c r="F320" s="34">
        <f>IF($C320="","",IFERROR(INDEX(Setup!$D$4:$D$28,MATCH($C320,Setup!$C$4:$C$28,0)),"CHECK"))</f>
        <v/>
      </c>
      <c r="G320" s="56">
        <f>IF($A320="","",MONTH($A320))</f>
        <v/>
      </c>
    </row>
    <row r="321">
      <c r="A321" s="48" t="n"/>
      <c r="B321" s="39" t="n"/>
      <c r="C321" s="39" t="n"/>
      <c r="D321" s="49" t="n"/>
      <c r="E321" s="50" t="n"/>
      <c r="F321" s="33">
        <f>IF($C321="","",IFERROR(INDEX(Setup!$D$4:$D$28,MATCH($C321,Setup!$C$4:$C$28,0)),"CHECK"))</f>
        <v/>
      </c>
      <c r="G321" s="51">
        <f>IF($A321="","",MONTH($A321))</f>
        <v/>
      </c>
    </row>
    <row r="322">
      <c r="A322" s="53" t="n"/>
      <c r="B322" s="43" t="n"/>
      <c r="C322" s="43" t="n"/>
      <c r="D322" s="54" t="n"/>
      <c r="E322" s="55" t="n"/>
      <c r="F322" s="34">
        <f>IF($C322="","",IFERROR(INDEX(Setup!$D$4:$D$28,MATCH($C322,Setup!$C$4:$C$28,0)),"CHECK"))</f>
        <v/>
      </c>
      <c r="G322" s="56">
        <f>IF($A322="","",MONTH($A322))</f>
        <v/>
      </c>
    </row>
    <row r="323">
      <c r="A323" s="48" t="n"/>
      <c r="B323" s="39" t="n"/>
      <c r="C323" s="39" t="n"/>
      <c r="D323" s="49" t="n"/>
      <c r="E323" s="50" t="n"/>
      <c r="F323" s="33">
        <f>IF($C323="","",IFERROR(INDEX(Setup!$D$4:$D$28,MATCH($C323,Setup!$C$4:$C$28,0)),"CHECK"))</f>
        <v/>
      </c>
      <c r="G323" s="51">
        <f>IF($A323="","",MONTH($A323))</f>
        <v/>
      </c>
    </row>
    <row r="324">
      <c r="A324" s="53" t="n"/>
      <c r="B324" s="43" t="n"/>
      <c r="C324" s="43" t="n"/>
      <c r="D324" s="54" t="n"/>
      <c r="E324" s="55" t="n"/>
      <c r="F324" s="34">
        <f>IF($C324="","",IFERROR(INDEX(Setup!$D$4:$D$28,MATCH($C324,Setup!$C$4:$C$28,0)),"CHECK"))</f>
        <v/>
      </c>
      <c r="G324" s="56">
        <f>IF($A324="","",MONTH($A324))</f>
        <v/>
      </c>
    </row>
    <row r="325">
      <c r="A325" s="48" t="n"/>
      <c r="B325" s="39" t="n"/>
      <c r="C325" s="39" t="n"/>
      <c r="D325" s="49" t="n"/>
      <c r="E325" s="50" t="n"/>
      <c r="F325" s="33">
        <f>IF($C325="","",IFERROR(INDEX(Setup!$D$4:$D$28,MATCH($C325,Setup!$C$4:$C$28,0)),"CHECK"))</f>
        <v/>
      </c>
      <c r="G325" s="51">
        <f>IF($A325="","",MONTH($A325))</f>
        <v/>
      </c>
    </row>
    <row r="326">
      <c r="A326" s="53" t="n"/>
      <c r="B326" s="43" t="n"/>
      <c r="C326" s="43" t="n"/>
      <c r="D326" s="54" t="n"/>
      <c r="E326" s="55" t="n"/>
      <c r="F326" s="34">
        <f>IF($C326="","",IFERROR(INDEX(Setup!$D$4:$D$28,MATCH($C326,Setup!$C$4:$C$28,0)),"CHECK"))</f>
        <v/>
      </c>
      <c r="G326" s="56">
        <f>IF($A326="","",MONTH($A326))</f>
        <v/>
      </c>
    </row>
    <row r="327">
      <c r="A327" s="48" t="n"/>
      <c r="B327" s="39" t="n"/>
      <c r="C327" s="39" t="n"/>
      <c r="D327" s="49" t="n"/>
      <c r="E327" s="50" t="n"/>
      <c r="F327" s="33">
        <f>IF($C327="","",IFERROR(INDEX(Setup!$D$4:$D$28,MATCH($C327,Setup!$C$4:$C$28,0)),"CHECK"))</f>
        <v/>
      </c>
      <c r="G327" s="51">
        <f>IF($A327="","",MONTH($A327))</f>
        <v/>
      </c>
    </row>
    <row r="328">
      <c r="A328" s="53" t="n"/>
      <c r="B328" s="43" t="n"/>
      <c r="C328" s="43" t="n"/>
      <c r="D328" s="54" t="n"/>
      <c r="E328" s="55" t="n"/>
      <c r="F328" s="34">
        <f>IF($C328="","",IFERROR(INDEX(Setup!$D$4:$D$28,MATCH($C328,Setup!$C$4:$C$28,0)),"CHECK"))</f>
        <v/>
      </c>
      <c r="G328" s="56">
        <f>IF($A328="","",MONTH($A328))</f>
        <v/>
      </c>
    </row>
    <row r="329">
      <c r="A329" s="48" t="n"/>
      <c r="B329" s="39" t="n"/>
      <c r="C329" s="39" t="n"/>
      <c r="D329" s="49" t="n"/>
      <c r="E329" s="50" t="n"/>
      <c r="F329" s="33">
        <f>IF($C329="","",IFERROR(INDEX(Setup!$D$4:$D$28,MATCH($C329,Setup!$C$4:$C$28,0)),"CHECK"))</f>
        <v/>
      </c>
      <c r="G329" s="51">
        <f>IF($A329="","",MONTH($A329))</f>
        <v/>
      </c>
    </row>
    <row r="330">
      <c r="A330" s="53" t="n"/>
      <c r="B330" s="43" t="n"/>
      <c r="C330" s="43" t="n"/>
      <c r="D330" s="54" t="n"/>
      <c r="E330" s="55" t="n"/>
      <c r="F330" s="34">
        <f>IF($C330="","",IFERROR(INDEX(Setup!$D$4:$D$28,MATCH($C330,Setup!$C$4:$C$28,0)),"CHECK"))</f>
        <v/>
      </c>
      <c r="G330" s="56">
        <f>IF($A330="","",MONTH($A330))</f>
        <v/>
      </c>
    </row>
    <row r="331">
      <c r="A331" s="48" t="n"/>
      <c r="B331" s="39" t="n"/>
      <c r="C331" s="39" t="n"/>
      <c r="D331" s="49" t="n"/>
      <c r="E331" s="50" t="n"/>
      <c r="F331" s="33">
        <f>IF($C331="","",IFERROR(INDEX(Setup!$D$4:$D$28,MATCH($C331,Setup!$C$4:$C$28,0)),"CHECK"))</f>
        <v/>
      </c>
      <c r="G331" s="51">
        <f>IF($A331="","",MONTH($A331))</f>
        <v/>
      </c>
    </row>
    <row r="332">
      <c r="A332" s="53" t="n"/>
      <c r="B332" s="43" t="n"/>
      <c r="C332" s="43" t="n"/>
      <c r="D332" s="54" t="n"/>
      <c r="E332" s="55" t="n"/>
      <c r="F332" s="34">
        <f>IF($C332="","",IFERROR(INDEX(Setup!$D$4:$D$28,MATCH($C332,Setup!$C$4:$C$28,0)),"CHECK"))</f>
        <v/>
      </c>
      <c r="G332" s="56">
        <f>IF($A332="","",MONTH($A332))</f>
        <v/>
      </c>
    </row>
    <row r="333">
      <c r="A333" s="48" t="n"/>
      <c r="B333" s="39" t="n"/>
      <c r="C333" s="39" t="n"/>
      <c r="D333" s="49" t="n"/>
      <c r="E333" s="50" t="n"/>
      <c r="F333" s="33">
        <f>IF($C333="","",IFERROR(INDEX(Setup!$D$4:$D$28,MATCH($C333,Setup!$C$4:$C$28,0)),"CHECK"))</f>
        <v/>
      </c>
      <c r="G333" s="51">
        <f>IF($A333="","",MONTH($A333))</f>
        <v/>
      </c>
    </row>
    <row r="334">
      <c r="A334" s="53" t="n"/>
      <c r="B334" s="43" t="n"/>
      <c r="C334" s="43" t="n"/>
      <c r="D334" s="54" t="n"/>
      <c r="E334" s="55" t="n"/>
      <c r="F334" s="34">
        <f>IF($C334="","",IFERROR(INDEX(Setup!$D$4:$D$28,MATCH($C334,Setup!$C$4:$C$28,0)),"CHECK"))</f>
        <v/>
      </c>
      <c r="G334" s="56">
        <f>IF($A334="","",MONTH($A334))</f>
        <v/>
      </c>
    </row>
    <row r="335">
      <c r="A335" s="48" t="n"/>
      <c r="B335" s="39" t="n"/>
      <c r="C335" s="39" t="n"/>
      <c r="D335" s="49" t="n"/>
      <c r="E335" s="50" t="n"/>
      <c r="F335" s="33">
        <f>IF($C335="","",IFERROR(INDEX(Setup!$D$4:$D$28,MATCH($C335,Setup!$C$4:$C$28,0)),"CHECK"))</f>
        <v/>
      </c>
      <c r="G335" s="51">
        <f>IF($A335="","",MONTH($A335))</f>
        <v/>
      </c>
    </row>
    <row r="336">
      <c r="A336" s="53" t="n"/>
      <c r="B336" s="43" t="n"/>
      <c r="C336" s="43" t="n"/>
      <c r="D336" s="54" t="n"/>
      <c r="E336" s="55" t="n"/>
      <c r="F336" s="34">
        <f>IF($C336="","",IFERROR(INDEX(Setup!$D$4:$D$28,MATCH($C336,Setup!$C$4:$C$28,0)),"CHECK"))</f>
        <v/>
      </c>
      <c r="G336" s="56">
        <f>IF($A336="","",MONTH($A336))</f>
        <v/>
      </c>
    </row>
    <row r="337">
      <c r="A337" s="48" t="n"/>
      <c r="B337" s="39" t="n"/>
      <c r="C337" s="39" t="n"/>
      <c r="D337" s="49" t="n"/>
      <c r="E337" s="50" t="n"/>
      <c r="F337" s="33">
        <f>IF($C337="","",IFERROR(INDEX(Setup!$D$4:$D$28,MATCH($C337,Setup!$C$4:$C$28,0)),"CHECK"))</f>
        <v/>
      </c>
      <c r="G337" s="51">
        <f>IF($A337="","",MONTH($A337))</f>
        <v/>
      </c>
    </row>
    <row r="338">
      <c r="A338" s="53" t="n"/>
      <c r="B338" s="43" t="n"/>
      <c r="C338" s="43" t="n"/>
      <c r="D338" s="54" t="n"/>
      <c r="E338" s="55" t="n"/>
      <c r="F338" s="34">
        <f>IF($C338="","",IFERROR(INDEX(Setup!$D$4:$D$28,MATCH($C338,Setup!$C$4:$C$28,0)),"CHECK"))</f>
        <v/>
      </c>
      <c r="G338" s="56">
        <f>IF($A338="","",MONTH($A338))</f>
        <v/>
      </c>
    </row>
    <row r="339">
      <c r="A339" s="48" t="n"/>
      <c r="B339" s="39" t="n"/>
      <c r="C339" s="39" t="n"/>
      <c r="D339" s="49" t="n"/>
      <c r="E339" s="50" t="n"/>
      <c r="F339" s="33">
        <f>IF($C339="","",IFERROR(INDEX(Setup!$D$4:$D$28,MATCH($C339,Setup!$C$4:$C$28,0)),"CHECK"))</f>
        <v/>
      </c>
      <c r="G339" s="51">
        <f>IF($A339="","",MONTH($A339))</f>
        <v/>
      </c>
    </row>
    <row r="340">
      <c r="A340" s="53" t="n"/>
      <c r="B340" s="43" t="n"/>
      <c r="C340" s="43" t="n"/>
      <c r="D340" s="54" t="n"/>
      <c r="E340" s="55" t="n"/>
      <c r="F340" s="34">
        <f>IF($C340="","",IFERROR(INDEX(Setup!$D$4:$D$28,MATCH($C340,Setup!$C$4:$C$28,0)),"CHECK"))</f>
        <v/>
      </c>
      <c r="G340" s="56">
        <f>IF($A340="","",MONTH($A340))</f>
        <v/>
      </c>
    </row>
    <row r="341">
      <c r="A341" s="48" t="n"/>
      <c r="B341" s="39" t="n"/>
      <c r="C341" s="39" t="n"/>
      <c r="D341" s="49" t="n"/>
      <c r="E341" s="50" t="n"/>
      <c r="F341" s="33">
        <f>IF($C341="","",IFERROR(INDEX(Setup!$D$4:$D$28,MATCH($C341,Setup!$C$4:$C$28,0)),"CHECK"))</f>
        <v/>
      </c>
      <c r="G341" s="51">
        <f>IF($A341="","",MONTH($A341))</f>
        <v/>
      </c>
    </row>
    <row r="342">
      <c r="A342" s="53" t="n"/>
      <c r="B342" s="43" t="n"/>
      <c r="C342" s="43" t="n"/>
      <c r="D342" s="54" t="n"/>
      <c r="E342" s="55" t="n"/>
      <c r="F342" s="34">
        <f>IF($C342="","",IFERROR(INDEX(Setup!$D$4:$D$28,MATCH($C342,Setup!$C$4:$C$28,0)),"CHECK"))</f>
        <v/>
      </c>
      <c r="G342" s="56">
        <f>IF($A342="","",MONTH($A342))</f>
        <v/>
      </c>
    </row>
    <row r="343">
      <c r="A343" s="48" t="n"/>
      <c r="B343" s="39" t="n"/>
      <c r="C343" s="39" t="n"/>
      <c r="D343" s="49" t="n"/>
      <c r="E343" s="50" t="n"/>
      <c r="F343" s="33">
        <f>IF($C343="","",IFERROR(INDEX(Setup!$D$4:$D$28,MATCH($C343,Setup!$C$4:$C$28,0)),"CHECK"))</f>
        <v/>
      </c>
      <c r="G343" s="51">
        <f>IF($A343="","",MONTH($A343))</f>
        <v/>
      </c>
    </row>
    <row r="344">
      <c r="A344" s="53" t="n"/>
      <c r="B344" s="43" t="n"/>
      <c r="C344" s="43" t="n"/>
      <c r="D344" s="54" t="n"/>
      <c r="E344" s="55" t="n"/>
      <c r="F344" s="34">
        <f>IF($C344="","",IFERROR(INDEX(Setup!$D$4:$D$28,MATCH($C344,Setup!$C$4:$C$28,0)),"CHECK"))</f>
        <v/>
      </c>
      <c r="G344" s="56">
        <f>IF($A344="","",MONTH($A344))</f>
        <v/>
      </c>
    </row>
    <row r="345">
      <c r="A345" s="48" t="n"/>
      <c r="B345" s="39" t="n"/>
      <c r="C345" s="39" t="n"/>
      <c r="D345" s="49" t="n"/>
      <c r="E345" s="50" t="n"/>
      <c r="F345" s="33">
        <f>IF($C345="","",IFERROR(INDEX(Setup!$D$4:$D$28,MATCH($C345,Setup!$C$4:$C$28,0)),"CHECK"))</f>
        <v/>
      </c>
      <c r="G345" s="51">
        <f>IF($A345="","",MONTH($A345))</f>
        <v/>
      </c>
    </row>
    <row r="346">
      <c r="A346" s="53" t="n"/>
      <c r="B346" s="43" t="n"/>
      <c r="C346" s="43" t="n"/>
      <c r="D346" s="54" t="n"/>
      <c r="E346" s="55" t="n"/>
      <c r="F346" s="34">
        <f>IF($C346="","",IFERROR(INDEX(Setup!$D$4:$D$28,MATCH($C346,Setup!$C$4:$C$28,0)),"CHECK"))</f>
        <v/>
      </c>
      <c r="G346" s="56">
        <f>IF($A346="","",MONTH($A346))</f>
        <v/>
      </c>
    </row>
    <row r="347">
      <c r="A347" s="48" t="n"/>
      <c r="B347" s="39" t="n"/>
      <c r="C347" s="39" t="n"/>
      <c r="D347" s="49" t="n"/>
      <c r="E347" s="50" t="n"/>
      <c r="F347" s="33">
        <f>IF($C347="","",IFERROR(INDEX(Setup!$D$4:$D$28,MATCH($C347,Setup!$C$4:$C$28,0)),"CHECK"))</f>
        <v/>
      </c>
      <c r="G347" s="51">
        <f>IF($A347="","",MONTH($A347))</f>
        <v/>
      </c>
    </row>
    <row r="348">
      <c r="A348" s="53" t="n"/>
      <c r="B348" s="43" t="n"/>
      <c r="C348" s="43" t="n"/>
      <c r="D348" s="54" t="n"/>
      <c r="E348" s="55" t="n"/>
      <c r="F348" s="34">
        <f>IF($C348="","",IFERROR(INDEX(Setup!$D$4:$D$28,MATCH($C348,Setup!$C$4:$C$28,0)),"CHECK"))</f>
        <v/>
      </c>
      <c r="G348" s="56">
        <f>IF($A348="","",MONTH($A348))</f>
        <v/>
      </c>
    </row>
    <row r="349">
      <c r="A349" s="48" t="n"/>
      <c r="B349" s="39" t="n"/>
      <c r="C349" s="39" t="n"/>
      <c r="D349" s="49" t="n"/>
      <c r="E349" s="50" t="n"/>
      <c r="F349" s="33">
        <f>IF($C349="","",IFERROR(INDEX(Setup!$D$4:$D$28,MATCH($C349,Setup!$C$4:$C$28,0)),"CHECK"))</f>
        <v/>
      </c>
      <c r="G349" s="51">
        <f>IF($A349="","",MONTH($A349))</f>
        <v/>
      </c>
    </row>
    <row r="350">
      <c r="A350" s="53" t="n"/>
      <c r="B350" s="43" t="n"/>
      <c r="C350" s="43" t="n"/>
      <c r="D350" s="54" t="n"/>
      <c r="E350" s="55" t="n"/>
      <c r="F350" s="34">
        <f>IF($C350="","",IFERROR(INDEX(Setup!$D$4:$D$28,MATCH($C350,Setup!$C$4:$C$28,0)),"CHECK"))</f>
        <v/>
      </c>
      <c r="G350" s="56">
        <f>IF($A350="","",MONTH($A350))</f>
        <v/>
      </c>
    </row>
    <row r="351">
      <c r="A351" s="48" t="n"/>
      <c r="B351" s="39" t="n"/>
      <c r="C351" s="39" t="n"/>
      <c r="D351" s="49" t="n"/>
      <c r="E351" s="50" t="n"/>
      <c r="F351" s="33">
        <f>IF($C351="","",IFERROR(INDEX(Setup!$D$4:$D$28,MATCH($C351,Setup!$C$4:$C$28,0)),"CHECK"))</f>
        <v/>
      </c>
      <c r="G351" s="51">
        <f>IF($A351="","",MONTH($A351))</f>
        <v/>
      </c>
    </row>
    <row r="352">
      <c r="A352" s="53" t="n"/>
      <c r="B352" s="43" t="n"/>
      <c r="C352" s="43" t="n"/>
      <c r="D352" s="54" t="n"/>
      <c r="E352" s="55" t="n"/>
      <c r="F352" s="34">
        <f>IF($C352="","",IFERROR(INDEX(Setup!$D$4:$D$28,MATCH($C352,Setup!$C$4:$C$28,0)),"CHECK"))</f>
        <v/>
      </c>
      <c r="G352" s="56">
        <f>IF($A352="","",MONTH($A352))</f>
        <v/>
      </c>
    </row>
    <row r="353">
      <c r="A353" s="48" t="n"/>
      <c r="B353" s="39" t="n"/>
      <c r="C353" s="39" t="n"/>
      <c r="D353" s="49" t="n"/>
      <c r="E353" s="50" t="n"/>
      <c r="F353" s="33">
        <f>IF($C353="","",IFERROR(INDEX(Setup!$D$4:$D$28,MATCH($C353,Setup!$C$4:$C$28,0)),"CHECK"))</f>
        <v/>
      </c>
      <c r="G353" s="51">
        <f>IF($A353="","",MONTH($A353))</f>
        <v/>
      </c>
    </row>
    <row r="354">
      <c r="A354" s="53" t="n"/>
      <c r="B354" s="43" t="n"/>
      <c r="C354" s="43" t="n"/>
      <c r="D354" s="54" t="n"/>
      <c r="E354" s="55" t="n"/>
      <c r="F354" s="34">
        <f>IF($C354="","",IFERROR(INDEX(Setup!$D$4:$D$28,MATCH($C354,Setup!$C$4:$C$28,0)),"CHECK"))</f>
        <v/>
      </c>
      <c r="G354" s="56">
        <f>IF($A354="","",MONTH($A354))</f>
        <v/>
      </c>
    </row>
    <row r="355">
      <c r="A355" s="48" t="n"/>
      <c r="B355" s="39" t="n"/>
      <c r="C355" s="39" t="n"/>
      <c r="D355" s="49" t="n"/>
      <c r="E355" s="50" t="n"/>
      <c r="F355" s="33">
        <f>IF($C355="","",IFERROR(INDEX(Setup!$D$4:$D$28,MATCH($C355,Setup!$C$4:$C$28,0)),"CHECK"))</f>
        <v/>
      </c>
      <c r="G355" s="51">
        <f>IF($A355="","",MONTH($A355))</f>
        <v/>
      </c>
    </row>
    <row r="356">
      <c r="A356" s="53" t="n"/>
      <c r="B356" s="43" t="n"/>
      <c r="C356" s="43" t="n"/>
      <c r="D356" s="54" t="n"/>
      <c r="E356" s="55" t="n"/>
      <c r="F356" s="34">
        <f>IF($C356="","",IFERROR(INDEX(Setup!$D$4:$D$28,MATCH($C356,Setup!$C$4:$C$28,0)),"CHECK"))</f>
        <v/>
      </c>
      <c r="G356" s="56">
        <f>IF($A356="","",MONTH($A356))</f>
        <v/>
      </c>
    </row>
    <row r="357">
      <c r="A357" s="48" t="n"/>
      <c r="B357" s="39" t="n"/>
      <c r="C357" s="39" t="n"/>
      <c r="D357" s="49" t="n"/>
      <c r="E357" s="50" t="n"/>
      <c r="F357" s="33">
        <f>IF($C357="","",IFERROR(INDEX(Setup!$D$4:$D$28,MATCH($C357,Setup!$C$4:$C$28,0)),"CHECK"))</f>
        <v/>
      </c>
      <c r="G357" s="51">
        <f>IF($A357="","",MONTH($A357))</f>
        <v/>
      </c>
    </row>
    <row r="358">
      <c r="A358" s="53" t="n"/>
      <c r="B358" s="43" t="n"/>
      <c r="C358" s="43" t="n"/>
      <c r="D358" s="54" t="n"/>
      <c r="E358" s="55" t="n"/>
      <c r="F358" s="34">
        <f>IF($C358="","",IFERROR(INDEX(Setup!$D$4:$D$28,MATCH($C358,Setup!$C$4:$C$28,0)),"CHECK"))</f>
        <v/>
      </c>
      <c r="G358" s="56">
        <f>IF($A358="","",MONTH($A358))</f>
        <v/>
      </c>
    </row>
    <row r="359">
      <c r="A359" s="48" t="n"/>
      <c r="B359" s="39" t="n"/>
      <c r="C359" s="39" t="n"/>
      <c r="D359" s="49" t="n"/>
      <c r="E359" s="50" t="n"/>
      <c r="F359" s="33">
        <f>IF($C359="","",IFERROR(INDEX(Setup!$D$4:$D$28,MATCH($C359,Setup!$C$4:$C$28,0)),"CHECK"))</f>
        <v/>
      </c>
      <c r="G359" s="51">
        <f>IF($A359="","",MONTH($A359))</f>
        <v/>
      </c>
    </row>
    <row r="360">
      <c r="A360" s="53" t="n"/>
      <c r="B360" s="43" t="n"/>
      <c r="C360" s="43" t="n"/>
      <c r="D360" s="54" t="n"/>
      <c r="E360" s="55" t="n"/>
      <c r="F360" s="34">
        <f>IF($C360="","",IFERROR(INDEX(Setup!$D$4:$D$28,MATCH($C360,Setup!$C$4:$C$28,0)),"CHECK"))</f>
        <v/>
      </c>
      <c r="G360" s="56">
        <f>IF($A360="","",MONTH($A360))</f>
        <v/>
      </c>
    </row>
    <row r="361">
      <c r="A361" s="48" t="n"/>
      <c r="B361" s="39" t="n"/>
      <c r="C361" s="39" t="n"/>
      <c r="D361" s="49" t="n"/>
      <c r="E361" s="50" t="n"/>
      <c r="F361" s="33">
        <f>IF($C361="","",IFERROR(INDEX(Setup!$D$4:$D$28,MATCH($C361,Setup!$C$4:$C$28,0)),"CHECK"))</f>
        <v/>
      </c>
      <c r="G361" s="51">
        <f>IF($A361="","",MONTH($A361))</f>
        <v/>
      </c>
    </row>
    <row r="362">
      <c r="A362" s="53" t="n"/>
      <c r="B362" s="43" t="n"/>
      <c r="C362" s="43" t="n"/>
      <c r="D362" s="54" t="n"/>
      <c r="E362" s="55" t="n"/>
      <c r="F362" s="34">
        <f>IF($C362="","",IFERROR(INDEX(Setup!$D$4:$D$28,MATCH($C362,Setup!$C$4:$C$28,0)),"CHECK"))</f>
        <v/>
      </c>
      <c r="G362" s="56">
        <f>IF($A362="","",MONTH($A362))</f>
        <v/>
      </c>
    </row>
    <row r="363">
      <c r="A363" s="48" t="n"/>
      <c r="B363" s="39" t="n"/>
      <c r="C363" s="39" t="n"/>
      <c r="D363" s="49" t="n"/>
      <c r="E363" s="50" t="n"/>
      <c r="F363" s="33">
        <f>IF($C363="","",IFERROR(INDEX(Setup!$D$4:$D$28,MATCH($C363,Setup!$C$4:$C$28,0)),"CHECK"))</f>
        <v/>
      </c>
      <c r="G363" s="51">
        <f>IF($A363="","",MONTH($A363))</f>
        <v/>
      </c>
    </row>
    <row r="364">
      <c r="A364" s="53" t="n"/>
      <c r="B364" s="43" t="n"/>
      <c r="C364" s="43" t="n"/>
      <c r="D364" s="54" t="n"/>
      <c r="E364" s="55" t="n"/>
      <c r="F364" s="34">
        <f>IF($C364="","",IFERROR(INDEX(Setup!$D$4:$D$28,MATCH($C364,Setup!$C$4:$C$28,0)),"CHECK"))</f>
        <v/>
      </c>
      <c r="G364" s="56">
        <f>IF($A364="","",MONTH($A364))</f>
        <v/>
      </c>
    </row>
    <row r="365">
      <c r="A365" s="48" t="n"/>
      <c r="B365" s="39" t="n"/>
      <c r="C365" s="39" t="n"/>
      <c r="D365" s="49" t="n"/>
      <c r="E365" s="50" t="n"/>
      <c r="F365" s="33">
        <f>IF($C365="","",IFERROR(INDEX(Setup!$D$4:$D$28,MATCH($C365,Setup!$C$4:$C$28,0)),"CHECK"))</f>
        <v/>
      </c>
      <c r="G365" s="51">
        <f>IF($A365="","",MONTH($A365))</f>
        <v/>
      </c>
    </row>
    <row r="366">
      <c r="A366" s="53" t="n"/>
      <c r="B366" s="43" t="n"/>
      <c r="C366" s="43" t="n"/>
      <c r="D366" s="54" t="n"/>
      <c r="E366" s="55" t="n"/>
      <c r="F366" s="34">
        <f>IF($C366="","",IFERROR(INDEX(Setup!$D$4:$D$28,MATCH($C366,Setup!$C$4:$C$28,0)),"CHECK"))</f>
        <v/>
      </c>
      <c r="G366" s="56">
        <f>IF($A366="","",MONTH($A366))</f>
        <v/>
      </c>
    </row>
    <row r="367">
      <c r="A367" s="48" t="n"/>
      <c r="B367" s="39" t="n"/>
      <c r="C367" s="39" t="n"/>
      <c r="D367" s="49" t="n"/>
      <c r="E367" s="50" t="n"/>
      <c r="F367" s="33">
        <f>IF($C367="","",IFERROR(INDEX(Setup!$D$4:$D$28,MATCH($C367,Setup!$C$4:$C$28,0)),"CHECK"))</f>
        <v/>
      </c>
      <c r="G367" s="51">
        <f>IF($A367="","",MONTH($A367))</f>
        <v/>
      </c>
    </row>
    <row r="368">
      <c r="A368" s="53" t="n"/>
      <c r="B368" s="43" t="n"/>
      <c r="C368" s="43" t="n"/>
      <c r="D368" s="54" t="n"/>
      <c r="E368" s="55" t="n"/>
      <c r="F368" s="34">
        <f>IF($C368="","",IFERROR(INDEX(Setup!$D$4:$D$28,MATCH($C368,Setup!$C$4:$C$28,0)),"CHECK"))</f>
        <v/>
      </c>
      <c r="G368" s="56">
        <f>IF($A368="","",MONTH($A368))</f>
        <v/>
      </c>
    </row>
    <row r="369">
      <c r="A369" s="48" t="n"/>
      <c r="B369" s="39" t="n"/>
      <c r="C369" s="39" t="n"/>
      <c r="D369" s="49" t="n"/>
      <c r="E369" s="50" t="n"/>
      <c r="F369" s="33">
        <f>IF($C369="","",IFERROR(INDEX(Setup!$D$4:$D$28,MATCH($C369,Setup!$C$4:$C$28,0)),"CHECK"))</f>
        <v/>
      </c>
      <c r="G369" s="51">
        <f>IF($A369="","",MONTH($A369))</f>
        <v/>
      </c>
    </row>
    <row r="370">
      <c r="A370" s="53" t="n"/>
      <c r="B370" s="43" t="n"/>
      <c r="C370" s="43" t="n"/>
      <c r="D370" s="54" t="n"/>
      <c r="E370" s="55" t="n"/>
      <c r="F370" s="34">
        <f>IF($C370="","",IFERROR(INDEX(Setup!$D$4:$D$28,MATCH($C370,Setup!$C$4:$C$28,0)),"CHECK"))</f>
        <v/>
      </c>
      <c r="G370" s="56">
        <f>IF($A370="","",MONTH($A370))</f>
        <v/>
      </c>
    </row>
    <row r="371">
      <c r="A371" s="48" t="n"/>
      <c r="B371" s="39" t="n"/>
      <c r="C371" s="39" t="n"/>
      <c r="D371" s="49" t="n"/>
      <c r="E371" s="50" t="n"/>
      <c r="F371" s="33">
        <f>IF($C371="","",IFERROR(INDEX(Setup!$D$4:$D$28,MATCH($C371,Setup!$C$4:$C$28,0)),"CHECK"))</f>
        <v/>
      </c>
      <c r="G371" s="51">
        <f>IF($A371="","",MONTH($A371))</f>
        <v/>
      </c>
    </row>
    <row r="372">
      <c r="A372" s="53" t="n"/>
      <c r="B372" s="43" t="n"/>
      <c r="C372" s="43" t="n"/>
      <c r="D372" s="54" t="n"/>
      <c r="E372" s="55" t="n"/>
      <c r="F372" s="34">
        <f>IF($C372="","",IFERROR(INDEX(Setup!$D$4:$D$28,MATCH($C372,Setup!$C$4:$C$28,0)),"CHECK"))</f>
        <v/>
      </c>
      <c r="G372" s="56">
        <f>IF($A372="","",MONTH($A372))</f>
        <v/>
      </c>
    </row>
    <row r="373">
      <c r="A373" s="48" t="n"/>
      <c r="B373" s="39" t="n"/>
      <c r="C373" s="39" t="n"/>
      <c r="D373" s="49" t="n"/>
      <c r="E373" s="50" t="n"/>
      <c r="F373" s="33">
        <f>IF($C373="","",IFERROR(INDEX(Setup!$D$4:$D$28,MATCH($C373,Setup!$C$4:$C$28,0)),"CHECK"))</f>
        <v/>
      </c>
      <c r="G373" s="51">
        <f>IF($A373="","",MONTH($A373))</f>
        <v/>
      </c>
    </row>
    <row r="374">
      <c r="A374" s="53" t="n"/>
      <c r="B374" s="43" t="n"/>
      <c r="C374" s="43" t="n"/>
      <c r="D374" s="54" t="n"/>
      <c r="E374" s="55" t="n"/>
      <c r="F374" s="34">
        <f>IF($C374="","",IFERROR(INDEX(Setup!$D$4:$D$28,MATCH($C374,Setup!$C$4:$C$28,0)),"CHECK"))</f>
        <v/>
      </c>
      <c r="G374" s="56">
        <f>IF($A374="","",MONTH($A374))</f>
        <v/>
      </c>
    </row>
    <row r="375">
      <c r="A375" s="48" t="n"/>
      <c r="B375" s="39" t="n"/>
      <c r="C375" s="39" t="n"/>
      <c r="D375" s="49" t="n"/>
      <c r="E375" s="50" t="n"/>
      <c r="F375" s="33">
        <f>IF($C375="","",IFERROR(INDEX(Setup!$D$4:$D$28,MATCH($C375,Setup!$C$4:$C$28,0)),"CHECK"))</f>
        <v/>
      </c>
      <c r="G375" s="51">
        <f>IF($A375="","",MONTH($A375))</f>
        <v/>
      </c>
    </row>
    <row r="376">
      <c r="A376" s="53" t="n"/>
      <c r="B376" s="43" t="n"/>
      <c r="C376" s="43" t="n"/>
      <c r="D376" s="54" t="n"/>
      <c r="E376" s="55" t="n"/>
      <c r="F376" s="34">
        <f>IF($C376="","",IFERROR(INDEX(Setup!$D$4:$D$28,MATCH($C376,Setup!$C$4:$C$28,0)),"CHECK"))</f>
        <v/>
      </c>
      <c r="G376" s="56">
        <f>IF($A376="","",MONTH($A376))</f>
        <v/>
      </c>
    </row>
    <row r="377">
      <c r="A377" s="48" t="n"/>
      <c r="B377" s="39" t="n"/>
      <c r="C377" s="39" t="n"/>
      <c r="D377" s="49" t="n"/>
      <c r="E377" s="50" t="n"/>
      <c r="F377" s="33">
        <f>IF($C377="","",IFERROR(INDEX(Setup!$D$4:$D$28,MATCH($C377,Setup!$C$4:$C$28,0)),"CHECK"))</f>
        <v/>
      </c>
      <c r="G377" s="51">
        <f>IF($A377="","",MONTH($A377))</f>
        <v/>
      </c>
    </row>
    <row r="378">
      <c r="A378" s="53" t="n"/>
      <c r="B378" s="43" t="n"/>
      <c r="C378" s="43" t="n"/>
      <c r="D378" s="54" t="n"/>
      <c r="E378" s="55" t="n"/>
      <c r="F378" s="34">
        <f>IF($C378="","",IFERROR(INDEX(Setup!$D$4:$D$28,MATCH($C378,Setup!$C$4:$C$28,0)),"CHECK"))</f>
        <v/>
      </c>
      <c r="G378" s="56">
        <f>IF($A378="","",MONTH($A378))</f>
        <v/>
      </c>
    </row>
    <row r="379">
      <c r="A379" s="48" t="n"/>
      <c r="B379" s="39" t="n"/>
      <c r="C379" s="39" t="n"/>
      <c r="D379" s="49" t="n"/>
      <c r="E379" s="50" t="n"/>
      <c r="F379" s="33">
        <f>IF($C379="","",IFERROR(INDEX(Setup!$D$4:$D$28,MATCH($C379,Setup!$C$4:$C$28,0)),"CHECK"))</f>
        <v/>
      </c>
      <c r="G379" s="51">
        <f>IF($A379="","",MONTH($A379))</f>
        <v/>
      </c>
    </row>
    <row r="380">
      <c r="A380" s="53" t="n"/>
      <c r="B380" s="43" t="n"/>
      <c r="C380" s="43" t="n"/>
      <c r="D380" s="54" t="n"/>
      <c r="E380" s="55" t="n"/>
      <c r="F380" s="34">
        <f>IF($C380="","",IFERROR(INDEX(Setup!$D$4:$D$28,MATCH($C380,Setup!$C$4:$C$28,0)),"CHECK"))</f>
        <v/>
      </c>
      <c r="G380" s="56">
        <f>IF($A380="","",MONTH($A380))</f>
        <v/>
      </c>
    </row>
    <row r="381">
      <c r="A381" s="48" t="n"/>
      <c r="B381" s="39" t="n"/>
      <c r="C381" s="39" t="n"/>
      <c r="D381" s="49" t="n"/>
      <c r="E381" s="50" t="n"/>
      <c r="F381" s="33">
        <f>IF($C381="","",IFERROR(INDEX(Setup!$D$4:$D$28,MATCH($C381,Setup!$C$4:$C$28,0)),"CHECK"))</f>
        <v/>
      </c>
      <c r="G381" s="51">
        <f>IF($A381="","",MONTH($A381))</f>
        <v/>
      </c>
    </row>
    <row r="382">
      <c r="A382" s="53" t="n"/>
      <c r="B382" s="43" t="n"/>
      <c r="C382" s="43" t="n"/>
      <c r="D382" s="54" t="n"/>
      <c r="E382" s="55" t="n"/>
      <c r="F382" s="34">
        <f>IF($C382="","",IFERROR(INDEX(Setup!$D$4:$D$28,MATCH($C382,Setup!$C$4:$C$28,0)),"CHECK"))</f>
        <v/>
      </c>
      <c r="G382" s="56">
        <f>IF($A382="","",MONTH($A382))</f>
        <v/>
      </c>
    </row>
    <row r="383">
      <c r="A383" s="48" t="n"/>
      <c r="B383" s="39" t="n"/>
      <c r="C383" s="39" t="n"/>
      <c r="D383" s="49" t="n"/>
      <c r="E383" s="50" t="n"/>
      <c r="F383" s="33">
        <f>IF($C383="","",IFERROR(INDEX(Setup!$D$4:$D$28,MATCH($C383,Setup!$C$4:$C$28,0)),"CHECK"))</f>
        <v/>
      </c>
      <c r="G383" s="51">
        <f>IF($A383="","",MONTH($A383))</f>
        <v/>
      </c>
    </row>
    <row r="384">
      <c r="A384" s="53" t="n"/>
      <c r="B384" s="43" t="n"/>
      <c r="C384" s="43" t="n"/>
      <c r="D384" s="54" t="n"/>
      <c r="E384" s="55" t="n"/>
      <c r="F384" s="34">
        <f>IF($C384="","",IFERROR(INDEX(Setup!$D$4:$D$28,MATCH($C384,Setup!$C$4:$C$28,0)),"CHECK"))</f>
        <v/>
      </c>
      <c r="G384" s="56">
        <f>IF($A384="","",MONTH($A384))</f>
        <v/>
      </c>
    </row>
    <row r="385">
      <c r="A385" s="48" t="n"/>
      <c r="B385" s="39" t="n"/>
      <c r="C385" s="39" t="n"/>
      <c r="D385" s="49" t="n"/>
      <c r="E385" s="50" t="n"/>
      <c r="F385" s="33">
        <f>IF($C385="","",IFERROR(INDEX(Setup!$D$4:$D$28,MATCH($C385,Setup!$C$4:$C$28,0)),"CHECK"))</f>
        <v/>
      </c>
      <c r="G385" s="51">
        <f>IF($A385="","",MONTH($A385))</f>
        <v/>
      </c>
    </row>
    <row r="386">
      <c r="A386" s="53" t="n"/>
      <c r="B386" s="43" t="n"/>
      <c r="C386" s="43" t="n"/>
      <c r="D386" s="54" t="n"/>
      <c r="E386" s="55" t="n"/>
      <c r="F386" s="34">
        <f>IF($C386="","",IFERROR(INDEX(Setup!$D$4:$D$28,MATCH($C386,Setup!$C$4:$C$28,0)),"CHECK"))</f>
        <v/>
      </c>
      <c r="G386" s="56">
        <f>IF($A386="","",MONTH($A386))</f>
        <v/>
      </c>
    </row>
    <row r="387">
      <c r="A387" s="48" t="n"/>
      <c r="B387" s="39" t="n"/>
      <c r="C387" s="39" t="n"/>
      <c r="D387" s="49" t="n"/>
      <c r="E387" s="50" t="n"/>
      <c r="F387" s="33">
        <f>IF($C387="","",IFERROR(INDEX(Setup!$D$4:$D$28,MATCH($C387,Setup!$C$4:$C$28,0)),"CHECK"))</f>
        <v/>
      </c>
      <c r="G387" s="51">
        <f>IF($A387="","",MONTH($A387))</f>
        <v/>
      </c>
    </row>
    <row r="388">
      <c r="A388" s="53" t="n"/>
      <c r="B388" s="43" t="n"/>
      <c r="C388" s="43" t="n"/>
      <c r="D388" s="54" t="n"/>
      <c r="E388" s="55" t="n"/>
      <c r="F388" s="34">
        <f>IF($C388="","",IFERROR(INDEX(Setup!$D$4:$D$28,MATCH($C388,Setup!$C$4:$C$28,0)),"CHECK"))</f>
        <v/>
      </c>
      <c r="G388" s="56">
        <f>IF($A388="","",MONTH($A388))</f>
        <v/>
      </c>
    </row>
    <row r="389">
      <c r="A389" s="48" t="n"/>
      <c r="B389" s="39" t="n"/>
      <c r="C389" s="39" t="n"/>
      <c r="D389" s="49" t="n"/>
      <c r="E389" s="50" t="n"/>
      <c r="F389" s="33">
        <f>IF($C389="","",IFERROR(INDEX(Setup!$D$4:$D$28,MATCH($C389,Setup!$C$4:$C$28,0)),"CHECK"))</f>
        <v/>
      </c>
      <c r="G389" s="51">
        <f>IF($A389="","",MONTH($A389))</f>
        <v/>
      </c>
    </row>
    <row r="390">
      <c r="A390" s="53" t="n"/>
      <c r="B390" s="43" t="n"/>
      <c r="C390" s="43" t="n"/>
      <c r="D390" s="54" t="n"/>
      <c r="E390" s="55" t="n"/>
      <c r="F390" s="34">
        <f>IF($C390="","",IFERROR(INDEX(Setup!$D$4:$D$28,MATCH($C390,Setup!$C$4:$C$28,0)),"CHECK"))</f>
        <v/>
      </c>
      <c r="G390" s="56">
        <f>IF($A390="","",MONTH($A390))</f>
        <v/>
      </c>
    </row>
    <row r="391">
      <c r="A391" s="48" t="n"/>
      <c r="B391" s="39" t="n"/>
      <c r="C391" s="39" t="n"/>
      <c r="D391" s="49" t="n"/>
      <c r="E391" s="50" t="n"/>
      <c r="F391" s="33">
        <f>IF($C391="","",IFERROR(INDEX(Setup!$D$4:$D$28,MATCH($C391,Setup!$C$4:$C$28,0)),"CHECK"))</f>
        <v/>
      </c>
      <c r="G391" s="51">
        <f>IF($A391="","",MONTH($A391))</f>
        <v/>
      </c>
    </row>
    <row r="392">
      <c r="A392" s="53" t="n"/>
      <c r="B392" s="43" t="n"/>
      <c r="C392" s="43" t="n"/>
      <c r="D392" s="54" t="n"/>
      <c r="E392" s="55" t="n"/>
      <c r="F392" s="34">
        <f>IF($C392="","",IFERROR(INDEX(Setup!$D$4:$D$28,MATCH($C392,Setup!$C$4:$C$28,0)),"CHECK"))</f>
        <v/>
      </c>
      <c r="G392" s="56">
        <f>IF($A392="","",MONTH($A392))</f>
        <v/>
      </c>
    </row>
    <row r="393">
      <c r="A393" s="48" t="n"/>
      <c r="B393" s="39" t="n"/>
      <c r="C393" s="39" t="n"/>
      <c r="D393" s="49" t="n"/>
      <c r="E393" s="50" t="n"/>
      <c r="F393" s="33">
        <f>IF($C393="","",IFERROR(INDEX(Setup!$D$4:$D$28,MATCH($C393,Setup!$C$4:$C$28,0)),"CHECK"))</f>
        <v/>
      </c>
      <c r="G393" s="51">
        <f>IF($A393="","",MONTH($A393))</f>
        <v/>
      </c>
    </row>
    <row r="394">
      <c r="A394" s="53" t="n"/>
      <c r="B394" s="43" t="n"/>
      <c r="C394" s="43" t="n"/>
      <c r="D394" s="54" t="n"/>
      <c r="E394" s="55" t="n"/>
      <c r="F394" s="34">
        <f>IF($C394="","",IFERROR(INDEX(Setup!$D$4:$D$28,MATCH($C394,Setup!$C$4:$C$28,0)),"CHECK"))</f>
        <v/>
      </c>
      <c r="G394" s="56">
        <f>IF($A394="","",MONTH($A394))</f>
        <v/>
      </c>
    </row>
    <row r="395">
      <c r="A395" s="48" t="n"/>
      <c r="B395" s="39" t="n"/>
      <c r="C395" s="39" t="n"/>
      <c r="D395" s="49" t="n"/>
      <c r="E395" s="50" t="n"/>
      <c r="F395" s="33">
        <f>IF($C395="","",IFERROR(INDEX(Setup!$D$4:$D$28,MATCH($C395,Setup!$C$4:$C$28,0)),"CHECK"))</f>
        <v/>
      </c>
      <c r="G395" s="51">
        <f>IF($A395="","",MONTH($A395))</f>
        <v/>
      </c>
    </row>
    <row r="396">
      <c r="A396" s="53" t="n"/>
      <c r="B396" s="43" t="n"/>
      <c r="C396" s="43" t="n"/>
      <c r="D396" s="54" t="n"/>
      <c r="E396" s="55" t="n"/>
      <c r="F396" s="34">
        <f>IF($C396="","",IFERROR(INDEX(Setup!$D$4:$D$28,MATCH($C396,Setup!$C$4:$C$28,0)),"CHECK"))</f>
        <v/>
      </c>
      <c r="G396" s="56">
        <f>IF($A396="","",MONTH($A396))</f>
        <v/>
      </c>
    </row>
    <row r="397">
      <c r="A397" s="48" t="n"/>
      <c r="B397" s="39" t="n"/>
      <c r="C397" s="39" t="n"/>
      <c r="D397" s="49" t="n"/>
      <c r="E397" s="50" t="n"/>
      <c r="F397" s="33">
        <f>IF($C397="","",IFERROR(INDEX(Setup!$D$4:$D$28,MATCH($C397,Setup!$C$4:$C$28,0)),"CHECK"))</f>
        <v/>
      </c>
      <c r="G397" s="51">
        <f>IF($A397="","",MONTH($A397))</f>
        <v/>
      </c>
    </row>
    <row r="398">
      <c r="A398" s="53" t="n"/>
      <c r="B398" s="43" t="n"/>
      <c r="C398" s="43" t="n"/>
      <c r="D398" s="54" t="n"/>
      <c r="E398" s="55" t="n"/>
      <c r="F398" s="34">
        <f>IF($C398="","",IFERROR(INDEX(Setup!$D$4:$D$28,MATCH($C398,Setup!$C$4:$C$28,0)),"CHECK"))</f>
        <v/>
      </c>
      <c r="G398" s="56">
        <f>IF($A398="","",MONTH($A398))</f>
        <v/>
      </c>
    </row>
    <row r="399">
      <c r="A399" s="48" t="n"/>
      <c r="B399" s="39" t="n"/>
      <c r="C399" s="39" t="n"/>
      <c r="D399" s="49" t="n"/>
      <c r="E399" s="50" t="n"/>
      <c r="F399" s="33">
        <f>IF($C399="","",IFERROR(INDEX(Setup!$D$4:$D$28,MATCH($C399,Setup!$C$4:$C$28,0)),"CHECK"))</f>
        <v/>
      </c>
      <c r="G399" s="51">
        <f>IF($A399="","",MONTH($A399))</f>
        <v/>
      </c>
    </row>
    <row r="400">
      <c r="A400" s="53" t="n"/>
      <c r="B400" s="43" t="n"/>
      <c r="C400" s="43" t="n"/>
      <c r="D400" s="54" t="n"/>
      <c r="E400" s="55" t="n"/>
      <c r="F400" s="34">
        <f>IF($C400="","",IFERROR(INDEX(Setup!$D$4:$D$28,MATCH($C400,Setup!$C$4:$C$28,0)),"CHECK"))</f>
        <v/>
      </c>
      <c r="G400" s="56">
        <f>IF($A400="","",MONTH($A400))</f>
        <v/>
      </c>
    </row>
    <row r="401">
      <c r="A401" s="48" t="n"/>
      <c r="B401" s="39" t="n"/>
      <c r="C401" s="39" t="n"/>
      <c r="D401" s="49" t="n"/>
      <c r="E401" s="50" t="n"/>
      <c r="F401" s="33">
        <f>IF($C401="","",IFERROR(INDEX(Setup!$D$4:$D$28,MATCH($C401,Setup!$C$4:$C$28,0)),"CHECK"))</f>
        <v/>
      </c>
      <c r="G401" s="51">
        <f>IF($A401="","",MONTH($A401))</f>
        <v/>
      </c>
    </row>
    <row r="402">
      <c r="A402" s="53" t="n"/>
      <c r="B402" s="43" t="n"/>
      <c r="C402" s="43" t="n"/>
      <c r="D402" s="54" t="n"/>
      <c r="E402" s="55" t="n"/>
      <c r="F402" s="34">
        <f>IF($C402="","",IFERROR(INDEX(Setup!$D$4:$D$28,MATCH($C402,Setup!$C$4:$C$28,0)),"CHECK"))</f>
        <v/>
      </c>
      <c r="G402" s="56">
        <f>IF($A402="","",MONTH($A402))</f>
        <v/>
      </c>
    </row>
    <row r="403">
      <c r="A403" s="48" t="n"/>
      <c r="B403" s="39" t="n"/>
      <c r="C403" s="39" t="n"/>
      <c r="D403" s="49" t="n"/>
      <c r="E403" s="50" t="n"/>
      <c r="F403" s="33">
        <f>IF($C403="","",IFERROR(INDEX(Setup!$D$4:$D$28,MATCH($C403,Setup!$C$4:$C$28,0)),"CHECK"))</f>
        <v/>
      </c>
      <c r="G403" s="51">
        <f>IF($A403="","",MONTH($A403))</f>
        <v/>
      </c>
    </row>
    <row r="404">
      <c r="A404" s="53" t="n"/>
      <c r="B404" s="43" t="n"/>
      <c r="C404" s="43" t="n"/>
      <c r="D404" s="54" t="n"/>
      <c r="E404" s="55" t="n"/>
      <c r="F404" s="34">
        <f>IF($C404="","",IFERROR(INDEX(Setup!$D$4:$D$28,MATCH($C404,Setup!$C$4:$C$28,0)),"CHECK"))</f>
        <v/>
      </c>
      <c r="G404" s="56">
        <f>IF($A404="","",MONTH($A404))</f>
        <v/>
      </c>
    </row>
    <row r="405">
      <c r="A405" s="48" t="n"/>
      <c r="B405" s="39" t="n"/>
      <c r="C405" s="39" t="n"/>
      <c r="D405" s="49" t="n"/>
      <c r="E405" s="50" t="n"/>
      <c r="F405" s="33">
        <f>IF($C405="","",IFERROR(INDEX(Setup!$D$4:$D$28,MATCH($C405,Setup!$C$4:$C$28,0)),"CHECK"))</f>
        <v/>
      </c>
      <c r="G405" s="51">
        <f>IF($A405="","",MONTH($A405))</f>
        <v/>
      </c>
    </row>
    <row r="406">
      <c r="A406" s="53" t="n"/>
      <c r="B406" s="43" t="n"/>
      <c r="C406" s="43" t="n"/>
      <c r="D406" s="54" t="n"/>
      <c r="E406" s="55" t="n"/>
      <c r="F406" s="34">
        <f>IF($C406="","",IFERROR(INDEX(Setup!$D$4:$D$28,MATCH($C406,Setup!$C$4:$C$28,0)),"CHECK"))</f>
        <v/>
      </c>
      <c r="G406" s="56">
        <f>IF($A406="","",MONTH($A406))</f>
        <v/>
      </c>
    </row>
    <row r="407">
      <c r="A407" s="48" t="n"/>
      <c r="B407" s="39" t="n"/>
      <c r="C407" s="39" t="n"/>
      <c r="D407" s="49" t="n"/>
      <c r="E407" s="50" t="n"/>
      <c r="F407" s="33">
        <f>IF($C407="","",IFERROR(INDEX(Setup!$D$4:$D$28,MATCH($C407,Setup!$C$4:$C$28,0)),"CHECK"))</f>
        <v/>
      </c>
      <c r="G407" s="51">
        <f>IF($A407="","",MONTH($A407))</f>
        <v/>
      </c>
    </row>
    <row r="408">
      <c r="A408" s="53" t="n"/>
      <c r="B408" s="43" t="n"/>
      <c r="C408" s="43" t="n"/>
      <c r="D408" s="54" t="n"/>
      <c r="E408" s="55" t="n"/>
      <c r="F408" s="34">
        <f>IF($C408="","",IFERROR(INDEX(Setup!$D$4:$D$28,MATCH($C408,Setup!$C$4:$C$28,0)),"CHECK"))</f>
        <v/>
      </c>
      <c r="G408" s="56">
        <f>IF($A408="","",MONTH($A408))</f>
        <v/>
      </c>
    </row>
    <row r="409">
      <c r="A409" s="48" t="n"/>
      <c r="B409" s="39" t="n"/>
      <c r="C409" s="39" t="n"/>
      <c r="D409" s="49" t="n"/>
      <c r="E409" s="50" t="n"/>
      <c r="F409" s="33">
        <f>IF($C409="","",IFERROR(INDEX(Setup!$D$4:$D$28,MATCH($C409,Setup!$C$4:$C$28,0)),"CHECK"))</f>
        <v/>
      </c>
      <c r="G409" s="51">
        <f>IF($A409="","",MONTH($A409))</f>
        <v/>
      </c>
    </row>
    <row r="410">
      <c r="A410" s="53" t="n"/>
      <c r="B410" s="43" t="n"/>
      <c r="C410" s="43" t="n"/>
      <c r="D410" s="54" t="n"/>
      <c r="E410" s="55" t="n"/>
      <c r="F410" s="34">
        <f>IF($C410="","",IFERROR(INDEX(Setup!$D$4:$D$28,MATCH($C410,Setup!$C$4:$C$28,0)),"CHECK"))</f>
        <v/>
      </c>
      <c r="G410" s="56">
        <f>IF($A410="","",MONTH($A410))</f>
        <v/>
      </c>
    </row>
    <row r="411">
      <c r="A411" s="48" t="n"/>
      <c r="B411" s="39" t="n"/>
      <c r="C411" s="39" t="n"/>
      <c r="D411" s="49" t="n"/>
      <c r="E411" s="50" t="n"/>
      <c r="F411" s="33">
        <f>IF($C411="","",IFERROR(INDEX(Setup!$D$4:$D$28,MATCH($C411,Setup!$C$4:$C$28,0)),"CHECK"))</f>
        <v/>
      </c>
      <c r="G411" s="51">
        <f>IF($A411="","",MONTH($A411))</f>
        <v/>
      </c>
    </row>
    <row r="412">
      <c r="A412" s="53" t="n"/>
      <c r="B412" s="43" t="n"/>
      <c r="C412" s="43" t="n"/>
      <c r="D412" s="54" t="n"/>
      <c r="E412" s="55" t="n"/>
      <c r="F412" s="34">
        <f>IF($C412="","",IFERROR(INDEX(Setup!$D$4:$D$28,MATCH($C412,Setup!$C$4:$C$28,0)),"CHECK"))</f>
        <v/>
      </c>
      <c r="G412" s="56">
        <f>IF($A412="","",MONTH($A412))</f>
        <v/>
      </c>
    </row>
    <row r="413">
      <c r="A413" s="48" t="n"/>
      <c r="B413" s="39" t="n"/>
      <c r="C413" s="39" t="n"/>
      <c r="D413" s="49" t="n"/>
      <c r="E413" s="50" t="n"/>
      <c r="F413" s="33">
        <f>IF($C413="","",IFERROR(INDEX(Setup!$D$4:$D$28,MATCH($C413,Setup!$C$4:$C$28,0)),"CHECK"))</f>
        <v/>
      </c>
      <c r="G413" s="51">
        <f>IF($A413="","",MONTH($A413))</f>
        <v/>
      </c>
    </row>
    <row r="414">
      <c r="A414" s="53" t="n"/>
      <c r="B414" s="43" t="n"/>
      <c r="C414" s="43" t="n"/>
      <c r="D414" s="54" t="n"/>
      <c r="E414" s="55" t="n"/>
      <c r="F414" s="34">
        <f>IF($C414="","",IFERROR(INDEX(Setup!$D$4:$D$28,MATCH($C414,Setup!$C$4:$C$28,0)),"CHECK"))</f>
        <v/>
      </c>
      <c r="G414" s="56">
        <f>IF($A414="","",MONTH($A414))</f>
        <v/>
      </c>
    </row>
    <row r="415">
      <c r="A415" s="48" t="n"/>
      <c r="B415" s="39" t="n"/>
      <c r="C415" s="39" t="n"/>
      <c r="D415" s="49" t="n"/>
      <c r="E415" s="50" t="n"/>
      <c r="F415" s="33">
        <f>IF($C415="","",IFERROR(INDEX(Setup!$D$4:$D$28,MATCH($C415,Setup!$C$4:$C$28,0)),"CHECK"))</f>
        <v/>
      </c>
      <c r="G415" s="51">
        <f>IF($A415="","",MONTH($A415))</f>
        <v/>
      </c>
    </row>
    <row r="416">
      <c r="A416" s="53" t="n"/>
      <c r="B416" s="43" t="n"/>
      <c r="C416" s="43" t="n"/>
      <c r="D416" s="54" t="n"/>
      <c r="E416" s="55" t="n"/>
      <c r="F416" s="34">
        <f>IF($C416="","",IFERROR(INDEX(Setup!$D$4:$D$28,MATCH($C416,Setup!$C$4:$C$28,0)),"CHECK"))</f>
        <v/>
      </c>
      <c r="G416" s="56">
        <f>IF($A416="","",MONTH($A416))</f>
        <v/>
      </c>
    </row>
    <row r="417">
      <c r="A417" s="48" t="n"/>
      <c r="B417" s="39" t="n"/>
      <c r="C417" s="39" t="n"/>
      <c r="D417" s="49" t="n"/>
      <c r="E417" s="50" t="n"/>
      <c r="F417" s="33">
        <f>IF($C417="","",IFERROR(INDEX(Setup!$D$4:$D$28,MATCH($C417,Setup!$C$4:$C$28,0)),"CHECK"))</f>
        <v/>
      </c>
      <c r="G417" s="51">
        <f>IF($A417="","",MONTH($A417))</f>
        <v/>
      </c>
    </row>
    <row r="418">
      <c r="A418" s="53" t="n"/>
      <c r="B418" s="43" t="n"/>
      <c r="C418" s="43" t="n"/>
      <c r="D418" s="54" t="n"/>
      <c r="E418" s="55" t="n"/>
      <c r="F418" s="34">
        <f>IF($C418="","",IFERROR(INDEX(Setup!$D$4:$D$28,MATCH($C418,Setup!$C$4:$C$28,0)),"CHECK"))</f>
        <v/>
      </c>
      <c r="G418" s="56">
        <f>IF($A418="","",MONTH($A418))</f>
        <v/>
      </c>
    </row>
    <row r="419">
      <c r="A419" s="48" t="n"/>
      <c r="B419" s="39" t="n"/>
      <c r="C419" s="39" t="n"/>
      <c r="D419" s="49" t="n"/>
      <c r="E419" s="50" t="n"/>
      <c r="F419" s="33">
        <f>IF($C419="","",IFERROR(INDEX(Setup!$D$4:$D$28,MATCH($C419,Setup!$C$4:$C$28,0)),"CHECK"))</f>
        <v/>
      </c>
      <c r="G419" s="51">
        <f>IF($A419="","",MONTH($A419))</f>
        <v/>
      </c>
    </row>
    <row r="420">
      <c r="A420" s="53" t="n"/>
      <c r="B420" s="43" t="n"/>
      <c r="C420" s="43" t="n"/>
      <c r="D420" s="54" t="n"/>
      <c r="E420" s="55" t="n"/>
      <c r="F420" s="34">
        <f>IF($C420="","",IFERROR(INDEX(Setup!$D$4:$D$28,MATCH($C420,Setup!$C$4:$C$28,0)),"CHECK"))</f>
        <v/>
      </c>
      <c r="G420" s="56">
        <f>IF($A420="","",MONTH($A420))</f>
        <v/>
      </c>
    </row>
    <row r="421">
      <c r="A421" s="48" t="n"/>
      <c r="B421" s="39" t="n"/>
      <c r="C421" s="39" t="n"/>
      <c r="D421" s="49" t="n"/>
      <c r="E421" s="50" t="n"/>
      <c r="F421" s="33">
        <f>IF($C421="","",IFERROR(INDEX(Setup!$D$4:$D$28,MATCH($C421,Setup!$C$4:$C$28,0)),"CHECK"))</f>
        <v/>
      </c>
      <c r="G421" s="51">
        <f>IF($A421="","",MONTH($A421))</f>
        <v/>
      </c>
    </row>
    <row r="422">
      <c r="A422" s="53" t="n"/>
      <c r="B422" s="43" t="n"/>
      <c r="C422" s="43" t="n"/>
      <c r="D422" s="54" t="n"/>
      <c r="E422" s="55" t="n"/>
      <c r="F422" s="34">
        <f>IF($C422="","",IFERROR(INDEX(Setup!$D$4:$D$28,MATCH($C422,Setup!$C$4:$C$28,0)),"CHECK"))</f>
        <v/>
      </c>
      <c r="G422" s="56">
        <f>IF($A422="","",MONTH($A422))</f>
        <v/>
      </c>
    </row>
    <row r="423">
      <c r="A423" s="48" t="n"/>
      <c r="B423" s="39" t="n"/>
      <c r="C423" s="39" t="n"/>
      <c r="D423" s="49" t="n"/>
      <c r="E423" s="50" t="n"/>
      <c r="F423" s="33">
        <f>IF($C423="","",IFERROR(INDEX(Setup!$D$4:$D$28,MATCH($C423,Setup!$C$4:$C$28,0)),"CHECK"))</f>
        <v/>
      </c>
      <c r="G423" s="51">
        <f>IF($A423="","",MONTH($A423))</f>
        <v/>
      </c>
    </row>
    <row r="424">
      <c r="A424" s="53" t="n"/>
      <c r="B424" s="43" t="n"/>
      <c r="C424" s="43" t="n"/>
      <c r="D424" s="54" t="n"/>
      <c r="E424" s="55" t="n"/>
      <c r="F424" s="34">
        <f>IF($C424="","",IFERROR(INDEX(Setup!$D$4:$D$28,MATCH($C424,Setup!$C$4:$C$28,0)),"CHECK"))</f>
        <v/>
      </c>
      <c r="G424" s="56">
        <f>IF($A424="","",MONTH($A424))</f>
        <v/>
      </c>
    </row>
    <row r="425">
      <c r="A425" s="48" t="n"/>
      <c r="B425" s="39" t="n"/>
      <c r="C425" s="39" t="n"/>
      <c r="D425" s="49" t="n"/>
      <c r="E425" s="50" t="n"/>
      <c r="F425" s="33">
        <f>IF($C425="","",IFERROR(INDEX(Setup!$D$4:$D$28,MATCH($C425,Setup!$C$4:$C$28,0)),"CHECK"))</f>
        <v/>
      </c>
      <c r="G425" s="51">
        <f>IF($A425="","",MONTH($A425))</f>
        <v/>
      </c>
    </row>
    <row r="426">
      <c r="A426" s="53" t="n"/>
      <c r="B426" s="43" t="n"/>
      <c r="C426" s="43" t="n"/>
      <c r="D426" s="54" t="n"/>
      <c r="E426" s="55" t="n"/>
      <c r="F426" s="34">
        <f>IF($C426="","",IFERROR(INDEX(Setup!$D$4:$D$28,MATCH($C426,Setup!$C$4:$C$28,0)),"CHECK"))</f>
        <v/>
      </c>
      <c r="G426" s="56">
        <f>IF($A426="","",MONTH($A426))</f>
        <v/>
      </c>
    </row>
    <row r="427">
      <c r="A427" s="48" t="n"/>
      <c r="B427" s="39" t="n"/>
      <c r="C427" s="39" t="n"/>
      <c r="D427" s="49" t="n"/>
      <c r="E427" s="50" t="n"/>
      <c r="F427" s="33">
        <f>IF($C427="","",IFERROR(INDEX(Setup!$D$4:$D$28,MATCH($C427,Setup!$C$4:$C$28,0)),"CHECK"))</f>
        <v/>
      </c>
      <c r="G427" s="51">
        <f>IF($A427="","",MONTH($A427))</f>
        <v/>
      </c>
    </row>
    <row r="428">
      <c r="A428" s="53" t="n"/>
      <c r="B428" s="43" t="n"/>
      <c r="C428" s="43" t="n"/>
      <c r="D428" s="54" t="n"/>
      <c r="E428" s="55" t="n"/>
      <c r="F428" s="34">
        <f>IF($C428="","",IFERROR(INDEX(Setup!$D$4:$D$28,MATCH($C428,Setup!$C$4:$C$28,0)),"CHECK"))</f>
        <v/>
      </c>
      <c r="G428" s="56">
        <f>IF($A428="","",MONTH($A428))</f>
        <v/>
      </c>
    </row>
    <row r="429">
      <c r="A429" s="48" t="n"/>
      <c r="B429" s="39" t="n"/>
      <c r="C429" s="39" t="n"/>
      <c r="D429" s="49" t="n"/>
      <c r="E429" s="50" t="n"/>
      <c r="F429" s="33">
        <f>IF($C429="","",IFERROR(INDEX(Setup!$D$4:$D$28,MATCH($C429,Setup!$C$4:$C$28,0)),"CHECK"))</f>
        <v/>
      </c>
      <c r="G429" s="51">
        <f>IF($A429="","",MONTH($A429))</f>
        <v/>
      </c>
    </row>
    <row r="430">
      <c r="A430" s="53" t="n"/>
      <c r="B430" s="43" t="n"/>
      <c r="C430" s="43" t="n"/>
      <c r="D430" s="54" t="n"/>
      <c r="E430" s="55" t="n"/>
      <c r="F430" s="34">
        <f>IF($C430="","",IFERROR(INDEX(Setup!$D$4:$D$28,MATCH($C430,Setup!$C$4:$C$28,0)),"CHECK"))</f>
        <v/>
      </c>
      <c r="G430" s="56">
        <f>IF($A430="","",MONTH($A430))</f>
        <v/>
      </c>
    </row>
    <row r="431">
      <c r="A431" s="48" t="n"/>
      <c r="B431" s="39" t="n"/>
      <c r="C431" s="39" t="n"/>
      <c r="D431" s="49" t="n"/>
      <c r="E431" s="50" t="n"/>
      <c r="F431" s="33">
        <f>IF($C431="","",IFERROR(INDEX(Setup!$D$4:$D$28,MATCH($C431,Setup!$C$4:$C$28,0)),"CHECK"))</f>
        <v/>
      </c>
      <c r="G431" s="51">
        <f>IF($A431="","",MONTH($A431))</f>
        <v/>
      </c>
    </row>
    <row r="432">
      <c r="A432" s="53" t="n"/>
      <c r="B432" s="43" t="n"/>
      <c r="C432" s="43" t="n"/>
      <c r="D432" s="54" t="n"/>
      <c r="E432" s="55" t="n"/>
      <c r="F432" s="34">
        <f>IF($C432="","",IFERROR(INDEX(Setup!$D$4:$D$28,MATCH($C432,Setup!$C$4:$C$28,0)),"CHECK"))</f>
        <v/>
      </c>
      <c r="G432" s="56">
        <f>IF($A432="","",MONTH($A432))</f>
        <v/>
      </c>
    </row>
    <row r="433">
      <c r="A433" s="48" t="n"/>
      <c r="B433" s="39" t="n"/>
      <c r="C433" s="39" t="n"/>
      <c r="D433" s="49" t="n"/>
      <c r="E433" s="50" t="n"/>
      <c r="F433" s="33">
        <f>IF($C433="","",IFERROR(INDEX(Setup!$D$4:$D$28,MATCH($C433,Setup!$C$4:$C$28,0)),"CHECK"))</f>
        <v/>
      </c>
      <c r="G433" s="51">
        <f>IF($A433="","",MONTH($A433))</f>
        <v/>
      </c>
    </row>
    <row r="434">
      <c r="A434" s="53" t="n"/>
      <c r="B434" s="43" t="n"/>
      <c r="C434" s="43" t="n"/>
      <c r="D434" s="54" t="n"/>
      <c r="E434" s="55" t="n"/>
      <c r="F434" s="34">
        <f>IF($C434="","",IFERROR(INDEX(Setup!$D$4:$D$28,MATCH($C434,Setup!$C$4:$C$28,0)),"CHECK"))</f>
        <v/>
      </c>
      <c r="G434" s="56">
        <f>IF($A434="","",MONTH($A434))</f>
        <v/>
      </c>
    </row>
    <row r="435">
      <c r="A435" s="48" t="n"/>
      <c r="B435" s="39" t="n"/>
      <c r="C435" s="39" t="n"/>
      <c r="D435" s="49" t="n"/>
      <c r="E435" s="50" t="n"/>
      <c r="F435" s="33">
        <f>IF($C435="","",IFERROR(INDEX(Setup!$D$4:$D$28,MATCH($C435,Setup!$C$4:$C$28,0)),"CHECK"))</f>
        <v/>
      </c>
      <c r="G435" s="51">
        <f>IF($A435="","",MONTH($A435))</f>
        <v/>
      </c>
    </row>
    <row r="436">
      <c r="A436" s="53" t="n"/>
      <c r="B436" s="43" t="n"/>
      <c r="C436" s="43" t="n"/>
      <c r="D436" s="54" t="n"/>
      <c r="E436" s="55" t="n"/>
      <c r="F436" s="34">
        <f>IF($C436="","",IFERROR(INDEX(Setup!$D$4:$D$28,MATCH($C436,Setup!$C$4:$C$28,0)),"CHECK"))</f>
        <v/>
      </c>
      <c r="G436" s="56">
        <f>IF($A436="","",MONTH($A436))</f>
        <v/>
      </c>
    </row>
    <row r="437">
      <c r="A437" s="48" t="n"/>
      <c r="B437" s="39" t="n"/>
      <c r="C437" s="39" t="n"/>
      <c r="D437" s="49" t="n"/>
      <c r="E437" s="50" t="n"/>
      <c r="F437" s="33">
        <f>IF($C437="","",IFERROR(INDEX(Setup!$D$4:$D$28,MATCH($C437,Setup!$C$4:$C$28,0)),"CHECK"))</f>
        <v/>
      </c>
      <c r="G437" s="51">
        <f>IF($A437="","",MONTH($A437))</f>
        <v/>
      </c>
    </row>
    <row r="438">
      <c r="A438" s="53" t="n"/>
      <c r="B438" s="43" t="n"/>
      <c r="C438" s="43" t="n"/>
      <c r="D438" s="54" t="n"/>
      <c r="E438" s="55" t="n"/>
      <c r="F438" s="34">
        <f>IF($C438="","",IFERROR(INDEX(Setup!$D$4:$D$28,MATCH($C438,Setup!$C$4:$C$28,0)),"CHECK"))</f>
        <v/>
      </c>
      <c r="G438" s="56">
        <f>IF($A438="","",MONTH($A438))</f>
        <v/>
      </c>
    </row>
    <row r="439">
      <c r="A439" s="48" t="n"/>
      <c r="B439" s="39" t="n"/>
      <c r="C439" s="39" t="n"/>
      <c r="D439" s="49" t="n"/>
      <c r="E439" s="50" t="n"/>
      <c r="F439" s="33">
        <f>IF($C439="","",IFERROR(INDEX(Setup!$D$4:$D$28,MATCH($C439,Setup!$C$4:$C$28,0)),"CHECK"))</f>
        <v/>
      </c>
      <c r="G439" s="51">
        <f>IF($A439="","",MONTH($A439))</f>
        <v/>
      </c>
    </row>
    <row r="440">
      <c r="A440" s="53" t="n"/>
      <c r="B440" s="43" t="n"/>
      <c r="C440" s="43" t="n"/>
      <c r="D440" s="54" t="n"/>
      <c r="E440" s="55" t="n"/>
      <c r="F440" s="34">
        <f>IF($C440="","",IFERROR(INDEX(Setup!$D$4:$D$28,MATCH($C440,Setup!$C$4:$C$28,0)),"CHECK"))</f>
        <v/>
      </c>
      <c r="G440" s="56">
        <f>IF($A440="","",MONTH($A440))</f>
        <v/>
      </c>
    </row>
    <row r="441">
      <c r="A441" s="48" t="n"/>
      <c r="B441" s="39" t="n"/>
      <c r="C441" s="39" t="n"/>
      <c r="D441" s="49" t="n"/>
      <c r="E441" s="50" t="n"/>
      <c r="F441" s="33">
        <f>IF($C441="","",IFERROR(INDEX(Setup!$D$4:$D$28,MATCH($C441,Setup!$C$4:$C$28,0)),"CHECK"))</f>
        <v/>
      </c>
      <c r="G441" s="51">
        <f>IF($A441="","",MONTH($A441))</f>
        <v/>
      </c>
    </row>
    <row r="442">
      <c r="A442" s="53" t="n"/>
      <c r="B442" s="43" t="n"/>
      <c r="C442" s="43" t="n"/>
      <c r="D442" s="54" t="n"/>
      <c r="E442" s="55" t="n"/>
      <c r="F442" s="34">
        <f>IF($C442="","",IFERROR(INDEX(Setup!$D$4:$D$28,MATCH($C442,Setup!$C$4:$C$28,0)),"CHECK"))</f>
        <v/>
      </c>
      <c r="G442" s="56">
        <f>IF($A442="","",MONTH($A442))</f>
        <v/>
      </c>
    </row>
    <row r="443">
      <c r="A443" s="48" t="n"/>
      <c r="B443" s="39" t="n"/>
      <c r="C443" s="39" t="n"/>
      <c r="D443" s="49" t="n"/>
      <c r="E443" s="50" t="n"/>
      <c r="F443" s="33">
        <f>IF($C443="","",IFERROR(INDEX(Setup!$D$4:$D$28,MATCH($C443,Setup!$C$4:$C$28,0)),"CHECK"))</f>
        <v/>
      </c>
      <c r="G443" s="51">
        <f>IF($A443="","",MONTH($A443))</f>
        <v/>
      </c>
    </row>
    <row r="444">
      <c r="A444" s="53" t="n"/>
      <c r="B444" s="43" t="n"/>
      <c r="C444" s="43" t="n"/>
      <c r="D444" s="54" t="n"/>
      <c r="E444" s="55" t="n"/>
      <c r="F444" s="34">
        <f>IF($C444="","",IFERROR(INDEX(Setup!$D$4:$D$28,MATCH($C444,Setup!$C$4:$C$28,0)),"CHECK"))</f>
        <v/>
      </c>
      <c r="G444" s="56">
        <f>IF($A444="","",MONTH($A444))</f>
        <v/>
      </c>
    </row>
    <row r="445">
      <c r="A445" s="48" t="n"/>
      <c r="B445" s="39" t="n"/>
      <c r="C445" s="39" t="n"/>
      <c r="D445" s="49" t="n"/>
      <c r="E445" s="50" t="n"/>
      <c r="F445" s="33">
        <f>IF($C445="","",IFERROR(INDEX(Setup!$D$4:$D$28,MATCH($C445,Setup!$C$4:$C$28,0)),"CHECK"))</f>
        <v/>
      </c>
      <c r="G445" s="51">
        <f>IF($A445="","",MONTH($A445))</f>
        <v/>
      </c>
    </row>
    <row r="446">
      <c r="A446" s="53" t="n"/>
      <c r="B446" s="43" t="n"/>
      <c r="C446" s="43" t="n"/>
      <c r="D446" s="54" t="n"/>
      <c r="E446" s="55" t="n"/>
      <c r="F446" s="34">
        <f>IF($C446="","",IFERROR(INDEX(Setup!$D$4:$D$28,MATCH($C446,Setup!$C$4:$C$28,0)),"CHECK"))</f>
        <v/>
      </c>
      <c r="G446" s="56">
        <f>IF($A446="","",MONTH($A446))</f>
        <v/>
      </c>
    </row>
    <row r="447">
      <c r="A447" s="48" t="n"/>
      <c r="B447" s="39" t="n"/>
      <c r="C447" s="39" t="n"/>
      <c r="D447" s="49" t="n"/>
      <c r="E447" s="50" t="n"/>
      <c r="F447" s="33">
        <f>IF($C447="","",IFERROR(INDEX(Setup!$D$4:$D$28,MATCH($C447,Setup!$C$4:$C$28,0)),"CHECK"))</f>
        <v/>
      </c>
      <c r="G447" s="51">
        <f>IF($A447="","",MONTH($A447))</f>
        <v/>
      </c>
    </row>
    <row r="448">
      <c r="A448" s="53" t="n"/>
      <c r="B448" s="43" t="n"/>
      <c r="C448" s="43" t="n"/>
      <c r="D448" s="54" t="n"/>
      <c r="E448" s="55" t="n"/>
      <c r="F448" s="34">
        <f>IF($C448="","",IFERROR(INDEX(Setup!$D$4:$D$28,MATCH($C448,Setup!$C$4:$C$28,0)),"CHECK"))</f>
        <v/>
      </c>
      <c r="G448" s="56">
        <f>IF($A448="","",MONTH($A448))</f>
        <v/>
      </c>
    </row>
    <row r="449">
      <c r="A449" s="48" t="n"/>
      <c r="B449" s="39" t="n"/>
      <c r="C449" s="39" t="n"/>
      <c r="D449" s="49" t="n"/>
      <c r="E449" s="50" t="n"/>
      <c r="F449" s="33">
        <f>IF($C449="","",IFERROR(INDEX(Setup!$D$4:$D$28,MATCH($C449,Setup!$C$4:$C$28,0)),"CHECK"))</f>
        <v/>
      </c>
      <c r="G449" s="51">
        <f>IF($A449="","",MONTH($A449))</f>
        <v/>
      </c>
    </row>
    <row r="450">
      <c r="A450" s="53" t="n"/>
      <c r="B450" s="43" t="n"/>
      <c r="C450" s="43" t="n"/>
      <c r="D450" s="54" t="n"/>
      <c r="E450" s="55" t="n"/>
      <c r="F450" s="34">
        <f>IF($C450="","",IFERROR(INDEX(Setup!$D$4:$D$28,MATCH($C450,Setup!$C$4:$C$28,0)),"CHECK"))</f>
        <v/>
      </c>
      <c r="G450" s="56">
        <f>IF($A450="","",MONTH($A450))</f>
        <v/>
      </c>
    </row>
    <row r="451">
      <c r="A451" s="48" t="n"/>
      <c r="B451" s="39" t="n"/>
      <c r="C451" s="39" t="n"/>
      <c r="D451" s="49" t="n"/>
      <c r="E451" s="50" t="n"/>
      <c r="F451" s="33">
        <f>IF($C451="","",IFERROR(INDEX(Setup!$D$4:$D$28,MATCH($C451,Setup!$C$4:$C$28,0)),"CHECK"))</f>
        <v/>
      </c>
      <c r="G451" s="51">
        <f>IF($A451="","",MONTH($A451))</f>
        <v/>
      </c>
    </row>
    <row r="452">
      <c r="A452" s="53" t="n"/>
      <c r="B452" s="43" t="n"/>
      <c r="C452" s="43" t="n"/>
      <c r="D452" s="54" t="n"/>
      <c r="E452" s="55" t="n"/>
      <c r="F452" s="34">
        <f>IF($C452="","",IFERROR(INDEX(Setup!$D$4:$D$28,MATCH($C452,Setup!$C$4:$C$28,0)),"CHECK"))</f>
        <v/>
      </c>
      <c r="G452" s="56">
        <f>IF($A452="","",MONTH($A452))</f>
        <v/>
      </c>
    </row>
    <row r="453">
      <c r="A453" s="48" t="n"/>
      <c r="B453" s="39" t="n"/>
      <c r="C453" s="39" t="n"/>
      <c r="D453" s="49" t="n"/>
      <c r="E453" s="50" t="n"/>
      <c r="F453" s="33">
        <f>IF($C453="","",IFERROR(INDEX(Setup!$D$4:$D$28,MATCH($C453,Setup!$C$4:$C$28,0)),"CHECK"))</f>
        <v/>
      </c>
      <c r="G453" s="51">
        <f>IF($A453="","",MONTH($A453))</f>
        <v/>
      </c>
    </row>
    <row r="454">
      <c r="A454" s="53" t="n"/>
      <c r="B454" s="43" t="n"/>
      <c r="C454" s="43" t="n"/>
      <c r="D454" s="54" t="n"/>
      <c r="E454" s="55" t="n"/>
      <c r="F454" s="34">
        <f>IF($C454="","",IFERROR(INDEX(Setup!$D$4:$D$28,MATCH($C454,Setup!$C$4:$C$28,0)),"CHECK"))</f>
        <v/>
      </c>
      <c r="G454" s="56">
        <f>IF($A454="","",MONTH($A454))</f>
        <v/>
      </c>
    </row>
    <row r="455">
      <c r="A455" s="48" t="n"/>
      <c r="B455" s="39" t="n"/>
      <c r="C455" s="39" t="n"/>
      <c r="D455" s="49" t="n"/>
      <c r="E455" s="50" t="n"/>
      <c r="F455" s="33">
        <f>IF($C455="","",IFERROR(INDEX(Setup!$D$4:$D$28,MATCH($C455,Setup!$C$4:$C$28,0)),"CHECK"))</f>
        <v/>
      </c>
      <c r="G455" s="51">
        <f>IF($A455="","",MONTH($A455))</f>
        <v/>
      </c>
    </row>
    <row r="456">
      <c r="A456" s="53" t="n"/>
      <c r="B456" s="43" t="n"/>
      <c r="C456" s="43" t="n"/>
      <c r="D456" s="54" t="n"/>
      <c r="E456" s="55" t="n"/>
      <c r="F456" s="34">
        <f>IF($C456="","",IFERROR(INDEX(Setup!$D$4:$D$28,MATCH($C456,Setup!$C$4:$C$28,0)),"CHECK"))</f>
        <v/>
      </c>
      <c r="G456" s="56">
        <f>IF($A456="","",MONTH($A456))</f>
        <v/>
      </c>
    </row>
    <row r="457">
      <c r="A457" s="48" t="n"/>
      <c r="B457" s="39" t="n"/>
      <c r="C457" s="39" t="n"/>
      <c r="D457" s="49" t="n"/>
      <c r="E457" s="50" t="n"/>
      <c r="F457" s="33">
        <f>IF($C457="","",IFERROR(INDEX(Setup!$D$4:$D$28,MATCH($C457,Setup!$C$4:$C$28,0)),"CHECK"))</f>
        <v/>
      </c>
      <c r="G457" s="51">
        <f>IF($A457="","",MONTH($A457))</f>
        <v/>
      </c>
    </row>
    <row r="458">
      <c r="A458" s="53" t="n"/>
      <c r="B458" s="43" t="n"/>
      <c r="C458" s="43" t="n"/>
      <c r="D458" s="54" t="n"/>
      <c r="E458" s="55" t="n"/>
      <c r="F458" s="34">
        <f>IF($C458="","",IFERROR(INDEX(Setup!$D$4:$D$28,MATCH($C458,Setup!$C$4:$C$28,0)),"CHECK"))</f>
        <v/>
      </c>
      <c r="G458" s="56">
        <f>IF($A458="","",MONTH($A458))</f>
        <v/>
      </c>
    </row>
    <row r="459">
      <c r="A459" s="48" t="n"/>
      <c r="B459" s="39" t="n"/>
      <c r="C459" s="39" t="n"/>
      <c r="D459" s="49" t="n"/>
      <c r="E459" s="50" t="n"/>
      <c r="F459" s="33">
        <f>IF($C459="","",IFERROR(INDEX(Setup!$D$4:$D$28,MATCH($C459,Setup!$C$4:$C$28,0)),"CHECK"))</f>
        <v/>
      </c>
      <c r="G459" s="51">
        <f>IF($A459="","",MONTH($A459))</f>
        <v/>
      </c>
    </row>
    <row r="460">
      <c r="A460" s="53" t="n"/>
      <c r="B460" s="43" t="n"/>
      <c r="C460" s="43" t="n"/>
      <c r="D460" s="54" t="n"/>
      <c r="E460" s="55" t="n"/>
      <c r="F460" s="34">
        <f>IF($C460="","",IFERROR(INDEX(Setup!$D$4:$D$28,MATCH($C460,Setup!$C$4:$C$28,0)),"CHECK"))</f>
        <v/>
      </c>
      <c r="G460" s="56">
        <f>IF($A460="","",MONTH($A460))</f>
        <v/>
      </c>
    </row>
    <row r="461">
      <c r="A461" s="48" t="n"/>
      <c r="B461" s="39" t="n"/>
      <c r="C461" s="39" t="n"/>
      <c r="D461" s="49" t="n"/>
      <c r="E461" s="50" t="n"/>
      <c r="F461" s="33">
        <f>IF($C461="","",IFERROR(INDEX(Setup!$D$4:$D$28,MATCH($C461,Setup!$C$4:$C$28,0)),"CHECK"))</f>
        <v/>
      </c>
      <c r="G461" s="51">
        <f>IF($A461="","",MONTH($A461))</f>
        <v/>
      </c>
    </row>
    <row r="462">
      <c r="A462" s="53" t="n"/>
      <c r="B462" s="43" t="n"/>
      <c r="C462" s="43" t="n"/>
      <c r="D462" s="54" t="n"/>
      <c r="E462" s="55" t="n"/>
      <c r="F462" s="34">
        <f>IF($C462="","",IFERROR(INDEX(Setup!$D$4:$D$28,MATCH($C462,Setup!$C$4:$C$28,0)),"CHECK"))</f>
        <v/>
      </c>
      <c r="G462" s="56">
        <f>IF($A462="","",MONTH($A462))</f>
        <v/>
      </c>
    </row>
    <row r="463">
      <c r="A463" s="48" t="n"/>
      <c r="B463" s="39" t="n"/>
      <c r="C463" s="39" t="n"/>
      <c r="D463" s="49" t="n"/>
      <c r="E463" s="50" t="n"/>
      <c r="F463" s="33">
        <f>IF($C463="","",IFERROR(INDEX(Setup!$D$4:$D$28,MATCH($C463,Setup!$C$4:$C$28,0)),"CHECK"))</f>
        <v/>
      </c>
      <c r="G463" s="51">
        <f>IF($A463="","",MONTH($A463))</f>
        <v/>
      </c>
    </row>
    <row r="464">
      <c r="A464" s="53" t="n"/>
      <c r="B464" s="43" t="n"/>
      <c r="C464" s="43" t="n"/>
      <c r="D464" s="54" t="n"/>
      <c r="E464" s="55" t="n"/>
      <c r="F464" s="34">
        <f>IF($C464="","",IFERROR(INDEX(Setup!$D$4:$D$28,MATCH($C464,Setup!$C$4:$C$28,0)),"CHECK"))</f>
        <v/>
      </c>
      <c r="G464" s="56">
        <f>IF($A464="","",MONTH($A464))</f>
        <v/>
      </c>
    </row>
    <row r="465">
      <c r="A465" s="48" t="n"/>
      <c r="B465" s="39" t="n"/>
      <c r="C465" s="39" t="n"/>
      <c r="D465" s="49" t="n"/>
      <c r="E465" s="50" t="n"/>
      <c r="F465" s="33">
        <f>IF($C465="","",IFERROR(INDEX(Setup!$D$4:$D$28,MATCH($C465,Setup!$C$4:$C$28,0)),"CHECK"))</f>
        <v/>
      </c>
      <c r="G465" s="51">
        <f>IF($A465="","",MONTH($A465))</f>
        <v/>
      </c>
    </row>
    <row r="466">
      <c r="A466" s="53" t="n"/>
      <c r="B466" s="43" t="n"/>
      <c r="C466" s="43" t="n"/>
      <c r="D466" s="54" t="n"/>
      <c r="E466" s="55" t="n"/>
      <c r="F466" s="34">
        <f>IF($C466="","",IFERROR(INDEX(Setup!$D$4:$D$28,MATCH($C466,Setup!$C$4:$C$28,0)),"CHECK"))</f>
        <v/>
      </c>
      <c r="G466" s="56">
        <f>IF($A466="","",MONTH($A466))</f>
        <v/>
      </c>
    </row>
    <row r="467">
      <c r="A467" s="48" t="n"/>
      <c r="B467" s="39" t="n"/>
      <c r="C467" s="39" t="n"/>
      <c r="D467" s="49" t="n"/>
      <c r="E467" s="50" t="n"/>
      <c r="F467" s="33">
        <f>IF($C467="","",IFERROR(INDEX(Setup!$D$4:$D$28,MATCH($C467,Setup!$C$4:$C$28,0)),"CHECK"))</f>
        <v/>
      </c>
      <c r="G467" s="51">
        <f>IF($A467="","",MONTH($A467))</f>
        <v/>
      </c>
    </row>
    <row r="468">
      <c r="A468" s="53" t="n"/>
      <c r="B468" s="43" t="n"/>
      <c r="C468" s="43" t="n"/>
      <c r="D468" s="54" t="n"/>
      <c r="E468" s="55" t="n"/>
      <c r="F468" s="34">
        <f>IF($C468="","",IFERROR(INDEX(Setup!$D$4:$D$28,MATCH($C468,Setup!$C$4:$C$28,0)),"CHECK"))</f>
        <v/>
      </c>
      <c r="G468" s="56">
        <f>IF($A468="","",MONTH($A468))</f>
        <v/>
      </c>
    </row>
    <row r="469">
      <c r="A469" s="48" t="n"/>
      <c r="B469" s="39" t="n"/>
      <c r="C469" s="39" t="n"/>
      <c r="D469" s="49" t="n"/>
      <c r="E469" s="50" t="n"/>
      <c r="F469" s="33">
        <f>IF($C469="","",IFERROR(INDEX(Setup!$D$4:$D$28,MATCH($C469,Setup!$C$4:$C$28,0)),"CHECK"))</f>
        <v/>
      </c>
      <c r="G469" s="51">
        <f>IF($A469="","",MONTH($A469))</f>
        <v/>
      </c>
    </row>
    <row r="470">
      <c r="A470" s="53" t="n"/>
      <c r="B470" s="43" t="n"/>
      <c r="C470" s="43" t="n"/>
      <c r="D470" s="54" t="n"/>
      <c r="E470" s="55" t="n"/>
      <c r="F470" s="34">
        <f>IF($C470="","",IFERROR(INDEX(Setup!$D$4:$D$28,MATCH($C470,Setup!$C$4:$C$28,0)),"CHECK"))</f>
        <v/>
      </c>
      <c r="G470" s="56">
        <f>IF($A470="","",MONTH($A470))</f>
        <v/>
      </c>
    </row>
    <row r="471">
      <c r="A471" s="48" t="n"/>
      <c r="B471" s="39" t="n"/>
      <c r="C471" s="39" t="n"/>
      <c r="D471" s="49" t="n"/>
      <c r="E471" s="50" t="n"/>
      <c r="F471" s="33">
        <f>IF($C471="","",IFERROR(INDEX(Setup!$D$4:$D$28,MATCH($C471,Setup!$C$4:$C$28,0)),"CHECK"))</f>
        <v/>
      </c>
      <c r="G471" s="51">
        <f>IF($A471="","",MONTH($A471))</f>
        <v/>
      </c>
    </row>
    <row r="472">
      <c r="A472" s="53" t="n"/>
      <c r="B472" s="43" t="n"/>
      <c r="C472" s="43" t="n"/>
      <c r="D472" s="54" t="n"/>
      <c r="E472" s="55" t="n"/>
      <c r="F472" s="34">
        <f>IF($C472="","",IFERROR(INDEX(Setup!$D$4:$D$28,MATCH($C472,Setup!$C$4:$C$28,0)),"CHECK"))</f>
        <v/>
      </c>
      <c r="G472" s="56">
        <f>IF($A472="","",MONTH($A472))</f>
        <v/>
      </c>
    </row>
    <row r="473">
      <c r="A473" s="48" t="n"/>
      <c r="B473" s="39" t="n"/>
      <c r="C473" s="39" t="n"/>
      <c r="D473" s="49" t="n"/>
      <c r="E473" s="50" t="n"/>
      <c r="F473" s="33">
        <f>IF($C473="","",IFERROR(INDEX(Setup!$D$4:$D$28,MATCH($C473,Setup!$C$4:$C$28,0)),"CHECK"))</f>
        <v/>
      </c>
      <c r="G473" s="51">
        <f>IF($A473="","",MONTH($A473))</f>
        <v/>
      </c>
    </row>
    <row r="474">
      <c r="A474" s="53" t="n"/>
      <c r="B474" s="43" t="n"/>
      <c r="C474" s="43" t="n"/>
      <c r="D474" s="54" t="n"/>
      <c r="E474" s="55" t="n"/>
      <c r="F474" s="34">
        <f>IF($C474="","",IFERROR(INDEX(Setup!$D$4:$D$28,MATCH($C474,Setup!$C$4:$C$28,0)),"CHECK"))</f>
        <v/>
      </c>
      <c r="G474" s="56">
        <f>IF($A474="","",MONTH($A474))</f>
        <v/>
      </c>
    </row>
    <row r="475">
      <c r="A475" s="48" t="n"/>
      <c r="B475" s="39" t="n"/>
      <c r="C475" s="39" t="n"/>
      <c r="D475" s="49" t="n"/>
      <c r="E475" s="50" t="n"/>
      <c r="F475" s="33">
        <f>IF($C475="","",IFERROR(INDEX(Setup!$D$4:$D$28,MATCH($C475,Setup!$C$4:$C$28,0)),"CHECK"))</f>
        <v/>
      </c>
      <c r="G475" s="51">
        <f>IF($A475="","",MONTH($A475))</f>
        <v/>
      </c>
    </row>
    <row r="476">
      <c r="A476" s="53" t="n"/>
      <c r="B476" s="43" t="n"/>
      <c r="C476" s="43" t="n"/>
      <c r="D476" s="54" t="n"/>
      <c r="E476" s="55" t="n"/>
      <c r="F476" s="34">
        <f>IF($C476="","",IFERROR(INDEX(Setup!$D$4:$D$28,MATCH($C476,Setup!$C$4:$C$28,0)),"CHECK"))</f>
        <v/>
      </c>
      <c r="G476" s="56">
        <f>IF($A476="","",MONTH($A476))</f>
        <v/>
      </c>
    </row>
    <row r="477">
      <c r="A477" s="48" t="n"/>
      <c r="B477" s="39" t="n"/>
      <c r="C477" s="39" t="n"/>
      <c r="D477" s="49" t="n"/>
      <c r="E477" s="50" t="n"/>
      <c r="F477" s="33">
        <f>IF($C477="","",IFERROR(INDEX(Setup!$D$4:$D$28,MATCH($C477,Setup!$C$4:$C$28,0)),"CHECK"))</f>
        <v/>
      </c>
      <c r="G477" s="51">
        <f>IF($A477="","",MONTH($A477))</f>
        <v/>
      </c>
    </row>
    <row r="478">
      <c r="A478" s="53" t="n"/>
      <c r="B478" s="43" t="n"/>
      <c r="C478" s="43" t="n"/>
      <c r="D478" s="54" t="n"/>
      <c r="E478" s="55" t="n"/>
      <c r="F478" s="34">
        <f>IF($C478="","",IFERROR(INDEX(Setup!$D$4:$D$28,MATCH($C478,Setup!$C$4:$C$28,0)),"CHECK"))</f>
        <v/>
      </c>
      <c r="G478" s="56">
        <f>IF($A478="","",MONTH($A478))</f>
        <v/>
      </c>
    </row>
    <row r="479">
      <c r="A479" s="48" t="n"/>
      <c r="B479" s="39" t="n"/>
      <c r="C479" s="39" t="n"/>
      <c r="D479" s="49" t="n"/>
      <c r="E479" s="50" t="n"/>
      <c r="F479" s="33">
        <f>IF($C479="","",IFERROR(INDEX(Setup!$D$4:$D$28,MATCH($C479,Setup!$C$4:$C$28,0)),"CHECK"))</f>
        <v/>
      </c>
      <c r="G479" s="51">
        <f>IF($A479="","",MONTH($A479))</f>
        <v/>
      </c>
    </row>
    <row r="480">
      <c r="A480" s="53" t="n"/>
      <c r="B480" s="43" t="n"/>
      <c r="C480" s="43" t="n"/>
      <c r="D480" s="54" t="n"/>
      <c r="E480" s="55" t="n"/>
      <c r="F480" s="34">
        <f>IF($C480="","",IFERROR(INDEX(Setup!$D$4:$D$28,MATCH($C480,Setup!$C$4:$C$28,0)),"CHECK"))</f>
        <v/>
      </c>
      <c r="G480" s="56">
        <f>IF($A480="","",MONTH($A480))</f>
        <v/>
      </c>
    </row>
    <row r="481">
      <c r="A481" s="48" t="n"/>
      <c r="B481" s="39" t="n"/>
      <c r="C481" s="39" t="n"/>
      <c r="D481" s="49" t="n"/>
      <c r="E481" s="50" t="n"/>
      <c r="F481" s="33">
        <f>IF($C481="","",IFERROR(INDEX(Setup!$D$4:$D$28,MATCH($C481,Setup!$C$4:$C$28,0)),"CHECK"))</f>
        <v/>
      </c>
      <c r="G481" s="51">
        <f>IF($A481="","",MONTH($A481))</f>
        <v/>
      </c>
    </row>
    <row r="482">
      <c r="A482" s="53" t="n"/>
      <c r="B482" s="43" t="n"/>
      <c r="C482" s="43" t="n"/>
      <c r="D482" s="54" t="n"/>
      <c r="E482" s="55" t="n"/>
      <c r="F482" s="34">
        <f>IF($C482="","",IFERROR(INDEX(Setup!$D$4:$D$28,MATCH($C482,Setup!$C$4:$C$28,0)),"CHECK"))</f>
        <v/>
      </c>
      <c r="G482" s="56">
        <f>IF($A482="","",MONTH($A482))</f>
        <v/>
      </c>
    </row>
    <row r="483">
      <c r="A483" s="48" t="n"/>
      <c r="B483" s="39" t="n"/>
      <c r="C483" s="39" t="n"/>
      <c r="D483" s="49" t="n"/>
      <c r="E483" s="50" t="n"/>
      <c r="F483" s="33">
        <f>IF($C483="","",IFERROR(INDEX(Setup!$D$4:$D$28,MATCH($C483,Setup!$C$4:$C$28,0)),"CHECK"))</f>
        <v/>
      </c>
      <c r="G483" s="51">
        <f>IF($A483="","",MONTH($A483))</f>
        <v/>
      </c>
    </row>
    <row r="484">
      <c r="A484" s="53" t="n"/>
      <c r="B484" s="43" t="n"/>
      <c r="C484" s="43" t="n"/>
      <c r="D484" s="54" t="n"/>
      <c r="E484" s="55" t="n"/>
      <c r="F484" s="34">
        <f>IF($C484="","",IFERROR(INDEX(Setup!$D$4:$D$28,MATCH($C484,Setup!$C$4:$C$28,0)),"CHECK"))</f>
        <v/>
      </c>
      <c r="G484" s="56">
        <f>IF($A484="","",MONTH($A484))</f>
        <v/>
      </c>
    </row>
    <row r="485">
      <c r="A485" s="48" t="n"/>
      <c r="B485" s="39" t="n"/>
      <c r="C485" s="39" t="n"/>
      <c r="D485" s="49" t="n"/>
      <c r="E485" s="50" t="n"/>
      <c r="F485" s="33">
        <f>IF($C485="","",IFERROR(INDEX(Setup!$D$4:$D$28,MATCH($C485,Setup!$C$4:$C$28,0)),"CHECK"))</f>
        <v/>
      </c>
      <c r="G485" s="51">
        <f>IF($A485="","",MONTH($A485))</f>
        <v/>
      </c>
    </row>
    <row r="486">
      <c r="A486" s="53" t="n"/>
      <c r="B486" s="43" t="n"/>
      <c r="C486" s="43" t="n"/>
      <c r="D486" s="54" t="n"/>
      <c r="E486" s="55" t="n"/>
      <c r="F486" s="34">
        <f>IF($C486="","",IFERROR(INDEX(Setup!$D$4:$D$28,MATCH($C486,Setup!$C$4:$C$28,0)),"CHECK"))</f>
        <v/>
      </c>
      <c r="G486" s="56">
        <f>IF($A486="","",MONTH($A486))</f>
        <v/>
      </c>
    </row>
    <row r="487">
      <c r="A487" s="48" t="n"/>
      <c r="B487" s="39" t="n"/>
      <c r="C487" s="39" t="n"/>
      <c r="D487" s="49" t="n"/>
      <c r="E487" s="50" t="n"/>
      <c r="F487" s="33">
        <f>IF($C487="","",IFERROR(INDEX(Setup!$D$4:$D$28,MATCH($C487,Setup!$C$4:$C$28,0)),"CHECK"))</f>
        <v/>
      </c>
      <c r="G487" s="51">
        <f>IF($A487="","",MONTH($A487))</f>
        <v/>
      </c>
    </row>
    <row r="488">
      <c r="A488" s="53" t="n"/>
      <c r="B488" s="43" t="n"/>
      <c r="C488" s="43" t="n"/>
      <c r="D488" s="54" t="n"/>
      <c r="E488" s="55" t="n"/>
      <c r="F488" s="34">
        <f>IF($C488="","",IFERROR(INDEX(Setup!$D$4:$D$28,MATCH($C488,Setup!$C$4:$C$28,0)),"CHECK"))</f>
        <v/>
      </c>
      <c r="G488" s="56">
        <f>IF($A488="","",MONTH($A488))</f>
        <v/>
      </c>
    </row>
    <row r="489">
      <c r="A489" s="48" t="n"/>
      <c r="B489" s="39" t="n"/>
      <c r="C489" s="39" t="n"/>
      <c r="D489" s="49" t="n"/>
      <c r="E489" s="50" t="n"/>
      <c r="F489" s="33">
        <f>IF($C489="","",IFERROR(INDEX(Setup!$D$4:$D$28,MATCH($C489,Setup!$C$4:$C$28,0)),"CHECK"))</f>
        <v/>
      </c>
      <c r="G489" s="51">
        <f>IF($A489="","",MONTH($A489))</f>
        <v/>
      </c>
    </row>
    <row r="490">
      <c r="A490" s="53" t="n"/>
      <c r="B490" s="43" t="n"/>
      <c r="C490" s="43" t="n"/>
      <c r="D490" s="54" t="n"/>
      <c r="E490" s="55" t="n"/>
      <c r="F490" s="34">
        <f>IF($C490="","",IFERROR(INDEX(Setup!$D$4:$D$28,MATCH($C490,Setup!$C$4:$C$28,0)),"CHECK"))</f>
        <v/>
      </c>
      <c r="G490" s="56">
        <f>IF($A490="","",MONTH($A490))</f>
        <v/>
      </c>
    </row>
    <row r="491">
      <c r="A491" s="48" t="n"/>
      <c r="B491" s="39" t="n"/>
      <c r="C491" s="39" t="n"/>
      <c r="D491" s="49" t="n"/>
      <c r="E491" s="50" t="n"/>
      <c r="F491" s="33">
        <f>IF($C491="","",IFERROR(INDEX(Setup!$D$4:$D$28,MATCH($C491,Setup!$C$4:$C$28,0)),"CHECK"))</f>
        <v/>
      </c>
      <c r="G491" s="51">
        <f>IF($A491="","",MONTH($A491))</f>
        <v/>
      </c>
    </row>
    <row r="492">
      <c r="A492" s="53" t="n"/>
      <c r="B492" s="43" t="n"/>
      <c r="C492" s="43" t="n"/>
      <c r="D492" s="54" t="n"/>
      <c r="E492" s="55" t="n"/>
      <c r="F492" s="34">
        <f>IF($C492="","",IFERROR(INDEX(Setup!$D$4:$D$28,MATCH($C492,Setup!$C$4:$C$28,0)),"CHECK"))</f>
        <v/>
      </c>
      <c r="G492" s="56">
        <f>IF($A492="","",MONTH($A492))</f>
        <v/>
      </c>
    </row>
    <row r="493">
      <c r="A493" s="48" t="n"/>
      <c r="B493" s="39" t="n"/>
      <c r="C493" s="39" t="n"/>
      <c r="D493" s="49" t="n"/>
      <c r="E493" s="50" t="n"/>
      <c r="F493" s="33">
        <f>IF($C493="","",IFERROR(INDEX(Setup!$D$4:$D$28,MATCH($C493,Setup!$C$4:$C$28,0)),"CHECK"))</f>
        <v/>
      </c>
      <c r="G493" s="51">
        <f>IF($A493="","",MONTH($A493))</f>
        <v/>
      </c>
    </row>
    <row r="494">
      <c r="A494" s="53" t="n"/>
      <c r="B494" s="43" t="n"/>
      <c r="C494" s="43" t="n"/>
      <c r="D494" s="54" t="n"/>
      <c r="E494" s="55" t="n"/>
      <c r="F494" s="34">
        <f>IF($C494="","",IFERROR(INDEX(Setup!$D$4:$D$28,MATCH($C494,Setup!$C$4:$C$28,0)),"CHECK"))</f>
        <v/>
      </c>
      <c r="G494" s="56">
        <f>IF($A494="","",MONTH($A494))</f>
        <v/>
      </c>
    </row>
    <row r="495">
      <c r="A495" s="48" t="n"/>
      <c r="B495" s="39" t="n"/>
      <c r="C495" s="39" t="n"/>
      <c r="D495" s="49" t="n"/>
      <c r="E495" s="50" t="n"/>
      <c r="F495" s="33">
        <f>IF($C495="","",IFERROR(INDEX(Setup!$D$4:$D$28,MATCH($C495,Setup!$C$4:$C$28,0)),"CHECK"))</f>
        <v/>
      </c>
      <c r="G495" s="51">
        <f>IF($A495="","",MONTH($A495))</f>
        <v/>
      </c>
    </row>
    <row r="496">
      <c r="A496" s="53" t="n"/>
      <c r="B496" s="43" t="n"/>
      <c r="C496" s="43" t="n"/>
      <c r="D496" s="54" t="n"/>
      <c r="E496" s="55" t="n"/>
      <c r="F496" s="34">
        <f>IF($C496="","",IFERROR(INDEX(Setup!$D$4:$D$28,MATCH($C496,Setup!$C$4:$C$28,0)),"CHECK"))</f>
        <v/>
      </c>
      <c r="G496" s="56">
        <f>IF($A496="","",MONTH($A496))</f>
        <v/>
      </c>
    </row>
    <row r="497">
      <c r="A497" s="48" t="n"/>
      <c r="B497" s="39" t="n"/>
      <c r="C497" s="39" t="n"/>
      <c r="D497" s="49" t="n"/>
      <c r="E497" s="50" t="n"/>
      <c r="F497" s="33">
        <f>IF($C497="","",IFERROR(INDEX(Setup!$D$4:$D$28,MATCH($C497,Setup!$C$4:$C$28,0)),"CHECK"))</f>
        <v/>
      </c>
      <c r="G497" s="51">
        <f>IF($A497="","",MONTH($A497))</f>
        <v/>
      </c>
    </row>
    <row r="498">
      <c r="A498" s="53" t="n"/>
      <c r="B498" s="43" t="n"/>
      <c r="C498" s="43" t="n"/>
      <c r="D498" s="54" t="n"/>
      <c r="E498" s="55" t="n"/>
      <c r="F498" s="34">
        <f>IF($C498="","",IFERROR(INDEX(Setup!$D$4:$D$28,MATCH($C498,Setup!$C$4:$C$28,0)),"CHECK"))</f>
        <v/>
      </c>
      <c r="G498" s="56">
        <f>IF($A498="","",MONTH($A498))</f>
        <v/>
      </c>
    </row>
    <row r="499">
      <c r="A499" s="48" t="n"/>
      <c r="B499" s="39" t="n"/>
      <c r="C499" s="39" t="n"/>
      <c r="D499" s="49" t="n"/>
      <c r="E499" s="50" t="n"/>
      <c r="F499" s="33">
        <f>IF($C499="","",IFERROR(INDEX(Setup!$D$4:$D$28,MATCH($C499,Setup!$C$4:$C$28,0)),"CHECK"))</f>
        <v/>
      </c>
      <c r="G499" s="51">
        <f>IF($A499="","",MONTH($A499))</f>
        <v/>
      </c>
    </row>
    <row r="500">
      <c r="A500" s="53" t="n"/>
      <c r="B500" s="43" t="n"/>
      <c r="C500" s="43" t="n"/>
      <c r="D500" s="54" t="n"/>
      <c r="E500" s="55" t="n"/>
      <c r="F500" s="34">
        <f>IF($C500="","",IFERROR(INDEX(Setup!$D$4:$D$28,MATCH($C500,Setup!$C$4:$C$28,0)),"CHECK"))</f>
        <v/>
      </c>
      <c r="G500" s="56">
        <f>IF($A500="","",MONTH($A500))</f>
        <v/>
      </c>
    </row>
    <row r="501">
      <c r="A501" s="48" t="n"/>
      <c r="B501" s="39" t="n"/>
      <c r="C501" s="39" t="n"/>
      <c r="D501" s="49" t="n"/>
      <c r="E501" s="50" t="n"/>
      <c r="F501" s="33">
        <f>IF($C501="","",IFERROR(INDEX(Setup!$D$4:$D$28,MATCH($C501,Setup!$C$4:$C$28,0)),"CHECK"))</f>
        <v/>
      </c>
      <c r="G501" s="51">
        <f>IF($A501="","",MONTH($A501))</f>
        <v/>
      </c>
    </row>
    <row r="502">
      <c r="A502" s="53" t="n"/>
      <c r="B502" s="43" t="n"/>
      <c r="C502" s="43" t="n"/>
      <c r="D502" s="54" t="n"/>
      <c r="E502" s="55" t="n"/>
      <c r="F502" s="34">
        <f>IF($C502="","",IFERROR(INDEX(Setup!$D$4:$D$28,MATCH($C502,Setup!$C$4:$C$28,0)),"CHECK"))</f>
        <v/>
      </c>
      <c r="G502" s="56">
        <f>IF($A502="","",MONTH($A502))</f>
        <v/>
      </c>
    </row>
    <row r="503">
      <c r="A503" s="48" t="n"/>
      <c r="B503" s="39" t="n"/>
      <c r="C503" s="39" t="n"/>
      <c r="D503" s="49" t="n"/>
      <c r="E503" s="50" t="n"/>
      <c r="F503" s="33">
        <f>IF($C503="","",IFERROR(INDEX(Setup!$D$4:$D$28,MATCH($C503,Setup!$C$4:$C$28,0)),"CHECK"))</f>
        <v/>
      </c>
      <c r="G503" s="51">
        <f>IF($A503="","",MONTH($A503))</f>
        <v/>
      </c>
    </row>
    <row r="504">
      <c r="A504" s="53" t="n"/>
      <c r="B504" s="43" t="n"/>
      <c r="C504" s="43" t="n"/>
      <c r="D504" s="54" t="n"/>
      <c r="E504" s="55" t="n"/>
      <c r="F504" s="34">
        <f>IF($C504="","",IFERROR(INDEX(Setup!$D$4:$D$28,MATCH($C504,Setup!$C$4:$C$28,0)),"CHECK"))</f>
        <v/>
      </c>
      <c r="G504" s="56">
        <f>IF($A504="","",MONTH($A504))</f>
        <v/>
      </c>
    </row>
    <row r="505">
      <c r="A505" s="48" t="n"/>
      <c r="B505" s="39" t="n"/>
      <c r="C505" s="39" t="n"/>
      <c r="D505" s="49" t="n"/>
      <c r="E505" s="50" t="n"/>
      <c r="F505" s="33">
        <f>IF($C505="","",IFERROR(INDEX(Setup!$D$4:$D$28,MATCH($C505,Setup!$C$4:$C$28,0)),"CHECK"))</f>
        <v/>
      </c>
      <c r="G505" s="51">
        <f>IF($A505="","",MONTH($A505))</f>
        <v/>
      </c>
    </row>
    <row r="506">
      <c r="A506" s="53" t="n"/>
      <c r="B506" s="43" t="n"/>
      <c r="C506" s="43" t="n"/>
      <c r="D506" s="54" t="n"/>
      <c r="E506" s="55" t="n"/>
      <c r="F506" s="34">
        <f>IF($C506="","",IFERROR(INDEX(Setup!$D$4:$D$28,MATCH($C506,Setup!$C$4:$C$28,0)),"CHECK"))</f>
        <v/>
      </c>
      <c r="G506" s="56">
        <f>IF($A506="","",MONTH($A506))</f>
        <v/>
      </c>
    </row>
    <row r="507">
      <c r="A507" s="48" t="n"/>
      <c r="B507" s="39" t="n"/>
      <c r="C507" s="39" t="n"/>
      <c r="D507" s="49" t="n"/>
      <c r="E507" s="50" t="n"/>
      <c r="F507" s="33">
        <f>IF($C507="","",IFERROR(INDEX(Setup!$D$4:$D$28,MATCH($C507,Setup!$C$4:$C$28,0)),"CHECK"))</f>
        <v/>
      </c>
      <c r="G507" s="51">
        <f>IF($A507="","",MONTH($A507))</f>
        <v/>
      </c>
    </row>
    <row r="508">
      <c r="A508" s="53" t="n"/>
      <c r="B508" s="43" t="n"/>
      <c r="C508" s="43" t="n"/>
      <c r="D508" s="54" t="n"/>
      <c r="E508" s="55" t="n"/>
      <c r="F508" s="34">
        <f>IF($C508="","",IFERROR(INDEX(Setup!$D$4:$D$28,MATCH($C508,Setup!$C$4:$C$28,0)),"CHECK"))</f>
        <v/>
      </c>
      <c r="G508" s="56">
        <f>IF($A508="","",MONTH($A508))</f>
        <v/>
      </c>
    </row>
    <row r="509">
      <c r="A509" s="48" t="n"/>
      <c r="B509" s="39" t="n"/>
      <c r="C509" s="39" t="n"/>
      <c r="D509" s="49" t="n"/>
      <c r="E509" s="50" t="n"/>
      <c r="F509" s="33">
        <f>IF($C509="","",IFERROR(INDEX(Setup!$D$4:$D$28,MATCH($C509,Setup!$C$4:$C$28,0)),"CHECK"))</f>
        <v/>
      </c>
      <c r="G509" s="51">
        <f>IF($A509="","",MONTH($A509))</f>
        <v/>
      </c>
    </row>
    <row r="510">
      <c r="A510" s="53" t="n"/>
      <c r="B510" s="43" t="n"/>
      <c r="C510" s="43" t="n"/>
      <c r="D510" s="54" t="n"/>
      <c r="E510" s="55" t="n"/>
      <c r="F510" s="34">
        <f>IF($C510="","",IFERROR(INDEX(Setup!$D$4:$D$28,MATCH($C510,Setup!$C$4:$C$28,0)),"CHECK"))</f>
        <v/>
      </c>
      <c r="G510" s="56">
        <f>IF($A510="","",MONTH($A510))</f>
        <v/>
      </c>
    </row>
    <row r="511">
      <c r="A511" s="48" t="n"/>
      <c r="B511" s="39" t="n"/>
      <c r="C511" s="39" t="n"/>
      <c r="D511" s="49" t="n"/>
      <c r="E511" s="50" t="n"/>
      <c r="F511" s="33">
        <f>IF($C511="","",IFERROR(INDEX(Setup!$D$4:$D$28,MATCH($C511,Setup!$C$4:$C$28,0)),"CHECK"))</f>
        <v/>
      </c>
      <c r="G511" s="51">
        <f>IF($A511="","",MONTH($A511))</f>
        <v/>
      </c>
    </row>
    <row r="512">
      <c r="A512" s="53" t="n"/>
      <c r="B512" s="43" t="n"/>
      <c r="C512" s="43" t="n"/>
      <c r="D512" s="54" t="n"/>
      <c r="E512" s="55" t="n"/>
      <c r="F512" s="34">
        <f>IF($C512="","",IFERROR(INDEX(Setup!$D$4:$D$28,MATCH($C512,Setup!$C$4:$C$28,0)),"CHECK"))</f>
        <v/>
      </c>
      <c r="G512" s="56">
        <f>IF($A512="","",MONTH($A512))</f>
        <v/>
      </c>
    </row>
    <row r="513">
      <c r="A513" s="48" t="n"/>
      <c r="B513" s="39" t="n"/>
      <c r="C513" s="39" t="n"/>
      <c r="D513" s="49" t="n"/>
      <c r="E513" s="50" t="n"/>
      <c r="F513" s="33">
        <f>IF($C513="","",IFERROR(INDEX(Setup!$D$4:$D$28,MATCH($C513,Setup!$C$4:$C$28,0)),"CHECK"))</f>
        <v/>
      </c>
      <c r="G513" s="51">
        <f>IF($A513="","",MONTH($A513))</f>
        <v/>
      </c>
    </row>
    <row r="514">
      <c r="A514" s="53" t="n"/>
      <c r="B514" s="43" t="n"/>
      <c r="C514" s="43" t="n"/>
      <c r="D514" s="54" t="n"/>
      <c r="E514" s="55" t="n"/>
      <c r="F514" s="34">
        <f>IF($C514="","",IFERROR(INDEX(Setup!$D$4:$D$28,MATCH($C514,Setup!$C$4:$C$28,0)),"CHECK"))</f>
        <v/>
      </c>
      <c r="G514" s="56">
        <f>IF($A514="","",MONTH($A514))</f>
        <v/>
      </c>
    </row>
    <row r="515">
      <c r="A515" s="48" t="n"/>
      <c r="B515" s="39" t="n"/>
      <c r="C515" s="39" t="n"/>
      <c r="D515" s="49" t="n"/>
      <c r="E515" s="50" t="n"/>
      <c r="F515" s="33">
        <f>IF($C515="","",IFERROR(INDEX(Setup!$D$4:$D$28,MATCH($C515,Setup!$C$4:$C$28,0)),"CHECK"))</f>
        <v/>
      </c>
      <c r="G515" s="51">
        <f>IF($A515="","",MONTH($A515))</f>
        <v/>
      </c>
    </row>
    <row r="516">
      <c r="A516" s="53" t="n"/>
      <c r="B516" s="43" t="n"/>
      <c r="C516" s="43" t="n"/>
      <c r="D516" s="54" t="n"/>
      <c r="E516" s="55" t="n"/>
      <c r="F516" s="34">
        <f>IF($C516="","",IFERROR(INDEX(Setup!$D$4:$D$28,MATCH($C516,Setup!$C$4:$C$28,0)),"CHECK"))</f>
        <v/>
      </c>
      <c r="G516" s="56">
        <f>IF($A516="","",MONTH($A516))</f>
        <v/>
      </c>
    </row>
    <row r="517">
      <c r="A517" s="48" t="n"/>
      <c r="B517" s="39" t="n"/>
      <c r="C517" s="39" t="n"/>
      <c r="D517" s="49" t="n"/>
      <c r="E517" s="50" t="n"/>
      <c r="F517" s="33">
        <f>IF($C517="","",IFERROR(INDEX(Setup!$D$4:$D$28,MATCH($C517,Setup!$C$4:$C$28,0)),"CHECK"))</f>
        <v/>
      </c>
      <c r="G517" s="51">
        <f>IF($A517="","",MONTH($A517))</f>
        <v/>
      </c>
    </row>
    <row r="518">
      <c r="A518" s="53" t="n"/>
      <c r="B518" s="43" t="n"/>
      <c r="C518" s="43" t="n"/>
      <c r="D518" s="54" t="n"/>
      <c r="E518" s="55" t="n"/>
      <c r="F518" s="34">
        <f>IF($C518="","",IFERROR(INDEX(Setup!$D$4:$D$28,MATCH($C518,Setup!$C$4:$C$28,0)),"CHECK"))</f>
        <v/>
      </c>
      <c r="G518" s="56">
        <f>IF($A518="","",MONTH($A518))</f>
        <v/>
      </c>
    </row>
    <row r="519">
      <c r="A519" s="48" t="n"/>
      <c r="B519" s="39" t="n"/>
      <c r="C519" s="39" t="n"/>
      <c r="D519" s="49" t="n"/>
      <c r="E519" s="50" t="n"/>
      <c r="F519" s="33">
        <f>IF($C519="","",IFERROR(INDEX(Setup!$D$4:$D$28,MATCH($C519,Setup!$C$4:$C$28,0)),"CHECK"))</f>
        <v/>
      </c>
      <c r="G519" s="51">
        <f>IF($A519="","",MONTH($A519))</f>
        <v/>
      </c>
    </row>
    <row r="520">
      <c r="A520" s="53" t="n"/>
      <c r="B520" s="43" t="n"/>
      <c r="C520" s="43" t="n"/>
      <c r="D520" s="54" t="n"/>
      <c r="E520" s="55" t="n"/>
      <c r="F520" s="34">
        <f>IF($C520="","",IFERROR(INDEX(Setup!$D$4:$D$28,MATCH($C520,Setup!$C$4:$C$28,0)),"CHECK"))</f>
        <v/>
      </c>
      <c r="G520" s="56">
        <f>IF($A520="","",MONTH($A520))</f>
        <v/>
      </c>
    </row>
    <row r="521">
      <c r="A521" s="48" t="n"/>
      <c r="B521" s="39" t="n"/>
      <c r="C521" s="39" t="n"/>
      <c r="D521" s="49" t="n"/>
      <c r="E521" s="50" t="n"/>
      <c r="F521" s="33">
        <f>IF($C521="","",IFERROR(INDEX(Setup!$D$4:$D$28,MATCH($C521,Setup!$C$4:$C$28,0)),"CHECK"))</f>
        <v/>
      </c>
      <c r="G521" s="51">
        <f>IF($A521="","",MONTH($A521))</f>
        <v/>
      </c>
    </row>
    <row r="522">
      <c r="A522" s="53" t="n"/>
      <c r="B522" s="43" t="n"/>
      <c r="C522" s="43" t="n"/>
      <c r="D522" s="54" t="n"/>
      <c r="E522" s="55" t="n"/>
      <c r="F522" s="34">
        <f>IF($C522="","",IFERROR(INDEX(Setup!$D$4:$D$28,MATCH($C522,Setup!$C$4:$C$28,0)),"CHECK"))</f>
        <v/>
      </c>
      <c r="G522" s="56">
        <f>IF($A522="","",MONTH($A522))</f>
        <v/>
      </c>
    </row>
    <row r="523">
      <c r="A523" s="48" t="n"/>
      <c r="B523" s="39" t="n"/>
      <c r="C523" s="39" t="n"/>
      <c r="D523" s="49" t="n"/>
      <c r="E523" s="50" t="n"/>
      <c r="F523" s="33">
        <f>IF($C523="","",IFERROR(INDEX(Setup!$D$4:$D$28,MATCH($C523,Setup!$C$4:$C$28,0)),"CHECK"))</f>
        <v/>
      </c>
      <c r="G523" s="51">
        <f>IF($A523="","",MONTH($A523))</f>
        <v/>
      </c>
    </row>
    <row r="524">
      <c r="A524" s="53" t="n"/>
      <c r="B524" s="43" t="n"/>
      <c r="C524" s="43" t="n"/>
      <c r="D524" s="54" t="n"/>
      <c r="E524" s="55" t="n"/>
      <c r="F524" s="34">
        <f>IF($C524="","",IFERROR(INDEX(Setup!$D$4:$D$28,MATCH($C524,Setup!$C$4:$C$28,0)),"CHECK"))</f>
        <v/>
      </c>
      <c r="G524" s="56">
        <f>IF($A524="","",MONTH($A524))</f>
        <v/>
      </c>
    </row>
    <row r="525">
      <c r="A525" s="48" t="n"/>
      <c r="B525" s="39" t="n"/>
      <c r="C525" s="39" t="n"/>
      <c r="D525" s="49" t="n"/>
      <c r="E525" s="50" t="n"/>
      <c r="F525" s="33">
        <f>IF($C525="","",IFERROR(INDEX(Setup!$D$4:$D$28,MATCH($C525,Setup!$C$4:$C$28,0)),"CHECK"))</f>
        <v/>
      </c>
      <c r="G525" s="51">
        <f>IF($A525="","",MONTH($A525))</f>
        <v/>
      </c>
    </row>
    <row r="526">
      <c r="A526" s="53" t="n"/>
      <c r="B526" s="43" t="n"/>
      <c r="C526" s="43" t="n"/>
      <c r="D526" s="54" t="n"/>
      <c r="E526" s="55" t="n"/>
      <c r="F526" s="34">
        <f>IF($C526="","",IFERROR(INDEX(Setup!$D$4:$D$28,MATCH($C526,Setup!$C$4:$C$28,0)),"CHECK"))</f>
        <v/>
      </c>
      <c r="G526" s="56">
        <f>IF($A526="","",MONTH($A526))</f>
        <v/>
      </c>
    </row>
    <row r="527">
      <c r="A527" s="48" t="n"/>
      <c r="B527" s="39" t="n"/>
      <c r="C527" s="39" t="n"/>
      <c r="D527" s="49" t="n"/>
      <c r="E527" s="50" t="n"/>
      <c r="F527" s="33">
        <f>IF($C527="","",IFERROR(INDEX(Setup!$D$4:$D$28,MATCH($C527,Setup!$C$4:$C$28,0)),"CHECK"))</f>
        <v/>
      </c>
      <c r="G527" s="51">
        <f>IF($A527="","",MONTH($A527))</f>
        <v/>
      </c>
    </row>
    <row r="528">
      <c r="A528" s="53" t="n"/>
      <c r="B528" s="43" t="n"/>
      <c r="C528" s="43" t="n"/>
      <c r="D528" s="54" t="n"/>
      <c r="E528" s="55" t="n"/>
      <c r="F528" s="34">
        <f>IF($C528="","",IFERROR(INDEX(Setup!$D$4:$D$28,MATCH($C528,Setup!$C$4:$C$28,0)),"CHECK"))</f>
        <v/>
      </c>
      <c r="G528" s="56">
        <f>IF($A528="","",MONTH($A528))</f>
        <v/>
      </c>
    </row>
    <row r="529">
      <c r="A529" s="48" t="n"/>
      <c r="B529" s="39" t="n"/>
      <c r="C529" s="39" t="n"/>
      <c r="D529" s="49" t="n"/>
      <c r="E529" s="50" t="n"/>
      <c r="F529" s="33">
        <f>IF($C529="","",IFERROR(INDEX(Setup!$D$4:$D$28,MATCH($C529,Setup!$C$4:$C$28,0)),"CHECK"))</f>
        <v/>
      </c>
      <c r="G529" s="51">
        <f>IF($A529="","",MONTH($A529))</f>
        <v/>
      </c>
    </row>
    <row r="530">
      <c r="A530" s="53" t="n"/>
      <c r="B530" s="43" t="n"/>
      <c r="C530" s="43" t="n"/>
      <c r="D530" s="54" t="n"/>
      <c r="E530" s="55" t="n"/>
      <c r="F530" s="34">
        <f>IF($C530="","",IFERROR(INDEX(Setup!$D$4:$D$28,MATCH($C530,Setup!$C$4:$C$28,0)),"CHECK"))</f>
        <v/>
      </c>
      <c r="G530" s="56">
        <f>IF($A530="","",MONTH($A530))</f>
        <v/>
      </c>
    </row>
    <row r="531">
      <c r="A531" s="48" t="n"/>
      <c r="B531" s="39" t="n"/>
      <c r="C531" s="39" t="n"/>
      <c r="D531" s="49" t="n"/>
      <c r="E531" s="50" t="n"/>
      <c r="F531" s="33">
        <f>IF($C531="","",IFERROR(INDEX(Setup!$D$4:$D$28,MATCH($C531,Setup!$C$4:$C$28,0)),"CHECK"))</f>
        <v/>
      </c>
      <c r="G531" s="51">
        <f>IF($A531="","",MONTH($A531))</f>
        <v/>
      </c>
    </row>
    <row r="532">
      <c r="A532" s="53" t="n"/>
      <c r="B532" s="43" t="n"/>
      <c r="C532" s="43" t="n"/>
      <c r="D532" s="54" t="n"/>
      <c r="E532" s="55" t="n"/>
      <c r="F532" s="34">
        <f>IF($C532="","",IFERROR(INDEX(Setup!$D$4:$D$28,MATCH($C532,Setup!$C$4:$C$28,0)),"CHECK"))</f>
        <v/>
      </c>
      <c r="G532" s="56">
        <f>IF($A532="","",MONTH($A532))</f>
        <v/>
      </c>
    </row>
    <row r="533">
      <c r="A533" s="48" t="n"/>
      <c r="B533" s="39" t="n"/>
      <c r="C533" s="39" t="n"/>
      <c r="D533" s="49" t="n"/>
      <c r="E533" s="50" t="n"/>
      <c r="F533" s="33">
        <f>IF($C533="","",IFERROR(INDEX(Setup!$D$4:$D$28,MATCH($C533,Setup!$C$4:$C$28,0)),"CHECK"))</f>
        <v/>
      </c>
      <c r="G533" s="51">
        <f>IF($A533="","",MONTH($A533))</f>
        <v/>
      </c>
    </row>
    <row r="534">
      <c r="A534" s="53" t="n"/>
      <c r="B534" s="43" t="n"/>
      <c r="C534" s="43" t="n"/>
      <c r="D534" s="54" t="n"/>
      <c r="E534" s="55" t="n"/>
      <c r="F534" s="34">
        <f>IF($C534="","",IFERROR(INDEX(Setup!$D$4:$D$28,MATCH($C534,Setup!$C$4:$C$28,0)),"CHECK"))</f>
        <v/>
      </c>
      <c r="G534" s="56">
        <f>IF($A534="","",MONTH($A534))</f>
        <v/>
      </c>
    </row>
    <row r="535">
      <c r="A535" s="48" t="n"/>
      <c r="B535" s="39" t="n"/>
      <c r="C535" s="39" t="n"/>
      <c r="D535" s="49" t="n"/>
      <c r="E535" s="50" t="n"/>
      <c r="F535" s="33">
        <f>IF($C535="","",IFERROR(INDEX(Setup!$D$4:$D$28,MATCH($C535,Setup!$C$4:$C$28,0)),"CHECK"))</f>
        <v/>
      </c>
      <c r="G535" s="51">
        <f>IF($A535="","",MONTH($A535))</f>
        <v/>
      </c>
    </row>
    <row r="536">
      <c r="A536" s="53" t="n"/>
      <c r="B536" s="43" t="n"/>
      <c r="C536" s="43" t="n"/>
      <c r="D536" s="54" t="n"/>
      <c r="E536" s="55" t="n"/>
      <c r="F536" s="34">
        <f>IF($C536="","",IFERROR(INDEX(Setup!$D$4:$D$28,MATCH($C536,Setup!$C$4:$C$28,0)),"CHECK"))</f>
        <v/>
      </c>
      <c r="G536" s="56">
        <f>IF($A536="","",MONTH($A536))</f>
        <v/>
      </c>
    </row>
    <row r="537">
      <c r="A537" s="48" t="n"/>
      <c r="B537" s="39" t="n"/>
      <c r="C537" s="39" t="n"/>
      <c r="D537" s="49" t="n"/>
      <c r="E537" s="50" t="n"/>
      <c r="F537" s="33">
        <f>IF($C537="","",IFERROR(INDEX(Setup!$D$4:$D$28,MATCH($C537,Setup!$C$4:$C$28,0)),"CHECK"))</f>
        <v/>
      </c>
      <c r="G537" s="51">
        <f>IF($A537="","",MONTH($A537))</f>
        <v/>
      </c>
    </row>
    <row r="538">
      <c r="A538" s="53" t="n"/>
      <c r="B538" s="43" t="n"/>
      <c r="C538" s="43" t="n"/>
      <c r="D538" s="54" t="n"/>
      <c r="E538" s="55" t="n"/>
      <c r="F538" s="34">
        <f>IF($C538="","",IFERROR(INDEX(Setup!$D$4:$D$28,MATCH($C538,Setup!$C$4:$C$28,0)),"CHECK"))</f>
        <v/>
      </c>
      <c r="G538" s="56">
        <f>IF($A538="","",MONTH($A538))</f>
        <v/>
      </c>
    </row>
    <row r="539">
      <c r="A539" s="48" t="n"/>
      <c r="B539" s="39" t="n"/>
      <c r="C539" s="39" t="n"/>
      <c r="D539" s="49" t="n"/>
      <c r="E539" s="50" t="n"/>
      <c r="F539" s="33">
        <f>IF($C539="","",IFERROR(INDEX(Setup!$D$4:$D$28,MATCH($C539,Setup!$C$4:$C$28,0)),"CHECK"))</f>
        <v/>
      </c>
      <c r="G539" s="51">
        <f>IF($A539="","",MONTH($A539))</f>
        <v/>
      </c>
    </row>
    <row r="540">
      <c r="A540" s="53" t="n"/>
      <c r="B540" s="43" t="n"/>
      <c r="C540" s="43" t="n"/>
      <c r="D540" s="54" t="n"/>
      <c r="E540" s="55" t="n"/>
      <c r="F540" s="34">
        <f>IF($C540="","",IFERROR(INDEX(Setup!$D$4:$D$28,MATCH($C540,Setup!$C$4:$C$28,0)),"CHECK"))</f>
        <v/>
      </c>
      <c r="G540" s="56">
        <f>IF($A540="","",MONTH($A540))</f>
        <v/>
      </c>
    </row>
    <row r="541">
      <c r="A541" s="48" t="n"/>
      <c r="B541" s="39" t="n"/>
      <c r="C541" s="39" t="n"/>
      <c r="D541" s="49" t="n"/>
      <c r="E541" s="50" t="n"/>
      <c r="F541" s="33">
        <f>IF($C541="","",IFERROR(INDEX(Setup!$D$4:$D$28,MATCH($C541,Setup!$C$4:$C$28,0)),"CHECK"))</f>
        <v/>
      </c>
      <c r="G541" s="51">
        <f>IF($A541="","",MONTH($A541))</f>
        <v/>
      </c>
    </row>
    <row r="542">
      <c r="A542" s="53" t="n"/>
      <c r="B542" s="43" t="n"/>
      <c r="C542" s="43" t="n"/>
      <c r="D542" s="54" t="n"/>
      <c r="E542" s="55" t="n"/>
      <c r="F542" s="34">
        <f>IF($C542="","",IFERROR(INDEX(Setup!$D$4:$D$28,MATCH($C542,Setup!$C$4:$C$28,0)),"CHECK"))</f>
        <v/>
      </c>
      <c r="G542" s="56">
        <f>IF($A542="","",MONTH($A542))</f>
        <v/>
      </c>
    </row>
    <row r="543">
      <c r="A543" s="48" t="n"/>
      <c r="B543" s="39" t="n"/>
      <c r="C543" s="39" t="n"/>
      <c r="D543" s="49" t="n"/>
      <c r="E543" s="50" t="n"/>
      <c r="F543" s="33">
        <f>IF($C543="","",IFERROR(INDEX(Setup!$D$4:$D$28,MATCH($C543,Setup!$C$4:$C$28,0)),"CHECK"))</f>
        <v/>
      </c>
      <c r="G543" s="51">
        <f>IF($A543="","",MONTH($A543))</f>
        <v/>
      </c>
    </row>
    <row r="544">
      <c r="A544" s="53" t="n"/>
      <c r="B544" s="43" t="n"/>
      <c r="C544" s="43" t="n"/>
      <c r="D544" s="54" t="n"/>
      <c r="E544" s="55" t="n"/>
      <c r="F544" s="34">
        <f>IF($C544="","",IFERROR(INDEX(Setup!$D$4:$D$28,MATCH($C544,Setup!$C$4:$C$28,0)),"CHECK"))</f>
        <v/>
      </c>
      <c r="G544" s="56">
        <f>IF($A544="","",MONTH($A544))</f>
        <v/>
      </c>
    </row>
    <row r="545">
      <c r="A545" s="48" t="n"/>
      <c r="B545" s="39" t="n"/>
      <c r="C545" s="39" t="n"/>
      <c r="D545" s="49" t="n"/>
      <c r="E545" s="50" t="n"/>
      <c r="F545" s="33">
        <f>IF($C545="","",IFERROR(INDEX(Setup!$D$4:$D$28,MATCH($C545,Setup!$C$4:$C$28,0)),"CHECK"))</f>
        <v/>
      </c>
      <c r="G545" s="51">
        <f>IF($A545="","",MONTH($A545))</f>
        <v/>
      </c>
    </row>
    <row r="546">
      <c r="A546" s="53" t="n"/>
      <c r="B546" s="43" t="n"/>
      <c r="C546" s="43" t="n"/>
      <c r="D546" s="54" t="n"/>
      <c r="E546" s="55" t="n"/>
      <c r="F546" s="34">
        <f>IF($C546="","",IFERROR(INDEX(Setup!$D$4:$D$28,MATCH($C546,Setup!$C$4:$C$28,0)),"CHECK"))</f>
        <v/>
      </c>
      <c r="G546" s="56">
        <f>IF($A546="","",MONTH($A546))</f>
        <v/>
      </c>
    </row>
    <row r="547">
      <c r="A547" s="48" t="n"/>
      <c r="B547" s="39" t="n"/>
      <c r="C547" s="39" t="n"/>
      <c r="D547" s="49" t="n"/>
      <c r="E547" s="50" t="n"/>
      <c r="F547" s="33">
        <f>IF($C547="","",IFERROR(INDEX(Setup!$D$4:$D$28,MATCH($C547,Setup!$C$4:$C$28,0)),"CHECK"))</f>
        <v/>
      </c>
      <c r="G547" s="51">
        <f>IF($A547="","",MONTH($A547))</f>
        <v/>
      </c>
    </row>
    <row r="548">
      <c r="A548" s="53" t="n"/>
      <c r="B548" s="43" t="n"/>
      <c r="C548" s="43" t="n"/>
      <c r="D548" s="54" t="n"/>
      <c r="E548" s="55" t="n"/>
      <c r="F548" s="34">
        <f>IF($C548="","",IFERROR(INDEX(Setup!$D$4:$D$28,MATCH($C548,Setup!$C$4:$C$28,0)),"CHECK"))</f>
        <v/>
      </c>
      <c r="G548" s="56">
        <f>IF($A548="","",MONTH($A548))</f>
        <v/>
      </c>
    </row>
    <row r="549">
      <c r="A549" s="48" t="n"/>
      <c r="B549" s="39" t="n"/>
      <c r="C549" s="39" t="n"/>
      <c r="D549" s="49" t="n"/>
      <c r="E549" s="50" t="n"/>
      <c r="F549" s="33">
        <f>IF($C549="","",IFERROR(INDEX(Setup!$D$4:$D$28,MATCH($C549,Setup!$C$4:$C$28,0)),"CHECK"))</f>
        <v/>
      </c>
      <c r="G549" s="51">
        <f>IF($A549="","",MONTH($A549))</f>
        <v/>
      </c>
    </row>
    <row r="550">
      <c r="A550" s="53" t="n"/>
      <c r="B550" s="43" t="n"/>
      <c r="C550" s="43" t="n"/>
      <c r="D550" s="54" t="n"/>
      <c r="E550" s="55" t="n"/>
      <c r="F550" s="34">
        <f>IF($C550="","",IFERROR(INDEX(Setup!$D$4:$D$28,MATCH($C550,Setup!$C$4:$C$28,0)),"CHECK"))</f>
        <v/>
      </c>
      <c r="G550" s="56">
        <f>IF($A550="","",MONTH($A550))</f>
        <v/>
      </c>
    </row>
    <row r="551">
      <c r="A551" s="48" t="n"/>
      <c r="B551" s="39" t="n"/>
      <c r="C551" s="39" t="n"/>
      <c r="D551" s="49" t="n"/>
      <c r="E551" s="50" t="n"/>
      <c r="F551" s="33">
        <f>IF($C551="","",IFERROR(INDEX(Setup!$D$4:$D$28,MATCH($C551,Setup!$C$4:$C$28,0)),"CHECK"))</f>
        <v/>
      </c>
      <c r="G551" s="51">
        <f>IF($A551="","",MONTH($A551))</f>
        <v/>
      </c>
    </row>
    <row r="552">
      <c r="A552" s="53" t="n"/>
      <c r="B552" s="43" t="n"/>
      <c r="C552" s="43" t="n"/>
      <c r="D552" s="54" t="n"/>
      <c r="E552" s="55" t="n"/>
      <c r="F552" s="34">
        <f>IF($C552="","",IFERROR(INDEX(Setup!$D$4:$D$28,MATCH($C552,Setup!$C$4:$C$28,0)),"CHECK"))</f>
        <v/>
      </c>
      <c r="G552" s="56">
        <f>IF($A552="","",MONTH($A552))</f>
        <v/>
      </c>
    </row>
    <row r="553">
      <c r="A553" s="48" t="n"/>
      <c r="B553" s="39" t="n"/>
      <c r="C553" s="39" t="n"/>
      <c r="D553" s="49" t="n"/>
      <c r="E553" s="50" t="n"/>
      <c r="F553" s="33">
        <f>IF($C553="","",IFERROR(INDEX(Setup!$D$4:$D$28,MATCH($C553,Setup!$C$4:$C$28,0)),"CHECK"))</f>
        <v/>
      </c>
      <c r="G553" s="51">
        <f>IF($A553="","",MONTH($A553))</f>
        <v/>
      </c>
    </row>
    <row r="554">
      <c r="A554" s="53" t="n"/>
      <c r="B554" s="43" t="n"/>
      <c r="C554" s="43" t="n"/>
      <c r="D554" s="54" t="n"/>
      <c r="E554" s="55" t="n"/>
      <c r="F554" s="34">
        <f>IF($C554="","",IFERROR(INDEX(Setup!$D$4:$D$28,MATCH($C554,Setup!$C$4:$C$28,0)),"CHECK"))</f>
        <v/>
      </c>
      <c r="G554" s="56">
        <f>IF($A554="","",MONTH($A554))</f>
        <v/>
      </c>
    </row>
    <row r="555">
      <c r="A555" s="48" t="n"/>
      <c r="B555" s="39" t="n"/>
      <c r="C555" s="39" t="n"/>
      <c r="D555" s="49" t="n"/>
      <c r="E555" s="50" t="n"/>
      <c r="F555" s="33">
        <f>IF($C555="","",IFERROR(INDEX(Setup!$D$4:$D$28,MATCH($C555,Setup!$C$4:$C$28,0)),"CHECK"))</f>
        <v/>
      </c>
      <c r="G555" s="51">
        <f>IF($A555="","",MONTH($A555))</f>
        <v/>
      </c>
    </row>
    <row r="556">
      <c r="A556" s="53" t="n"/>
      <c r="B556" s="43" t="n"/>
      <c r="C556" s="43" t="n"/>
      <c r="D556" s="54" t="n"/>
      <c r="E556" s="55" t="n"/>
      <c r="F556" s="34">
        <f>IF($C556="","",IFERROR(INDEX(Setup!$D$4:$D$28,MATCH($C556,Setup!$C$4:$C$28,0)),"CHECK"))</f>
        <v/>
      </c>
      <c r="G556" s="56">
        <f>IF($A556="","",MONTH($A556))</f>
        <v/>
      </c>
    </row>
    <row r="557">
      <c r="A557" s="48" t="n"/>
      <c r="B557" s="39" t="n"/>
      <c r="C557" s="39" t="n"/>
      <c r="D557" s="49" t="n"/>
      <c r="E557" s="50" t="n"/>
      <c r="F557" s="33">
        <f>IF($C557="","",IFERROR(INDEX(Setup!$D$4:$D$28,MATCH($C557,Setup!$C$4:$C$28,0)),"CHECK"))</f>
        <v/>
      </c>
      <c r="G557" s="51">
        <f>IF($A557="","",MONTH($A557))</f>
        <v/>
      </c>
    </row>
    <row r="558">
      <c r="A558" s="53" t="n"/>
      <c r="B558" s="43" t="n"/>
      <c r="C558" s="43" t="n"/>
      <c r="D558" s="54" t="n"/>
      <c r="E558" s="55" t="n"/>
      <c r="F558" s="34">
        <f>IF($C558="","",IFERROR(INDEX(Setup!$D$4:$D$28,MATCH($C558,Setup!$C$4:$C$28,0)),"CHECK"))</f>
        <v/>
      </c>
      <c r="G558" s="56">
        <f>IF($A558="","",MONTH($A558))</f>
        <v/>
      </c>
    </row>
    <row r="559">
      <c r="A559" s="48" t="n"/>
      <c r="B559" s="39" t="n"/>
      <c r="C559" s="39" t="n"/>
      <c r="D559" s="49" t="n"/>
      <c r="E559" s="50" t="n"/>
      <c r="F559" s="33">
        <f>IF($C559="","",IFERROR(INDEX(Setup!$D$4:$D$28,MATCH($C559,Setup!$C$4:$C$28,0)),"CHECK"))</f>
        <v/>
      </c>
      <c r="G559" s="51">
        <f>IF($A559="","",MONTH($A559))</f>
        <v/>
      </c>
    </row>
    <row r="560">
      <c r="A560" s="53" t="n"/>
      <c r="B560" s="43" t="n"/>
      <c r="C560" s="43" t="n"/>
      <c r="D560" s="54" t="n"/>
      <c r="E560" s="55" t="n"/>
      <c r="F560" s="34">
        <f>IF($C560="","",IFERROR(INDEX(Setup!$D$4:$D$28,MATCH($C560,Setup!$C$4:$C$28,0)),"CHECK"))</f>
        <v/>
      </c>
      <c r="G560" s="56">
        <f>IF($A560="","",MONTH($A560))</f>
        <v/>
      </c>
    </row>
    <row r="561">
      <c r="A561" s="48" t="n"/>
      <c r="B561" s="39" t="n"/>
      <c r="C561" s="39" t="n"/>
      <c r="D561" s="49" t="n"/>
      <c r="E561" s="50" t="n"/>
      <c r="F561" s="33">
        <f>IF($C561="","",IFERROR(INDEX(Setup!$D$4:$D$28,MATCH($C561,Setup!$C$4:$C$28,0)),"CHECK"))</f>
        <v/>
      </c>
      <c r="G561" s="51">
        <f>IF($A561="","",MONTH($A561))</f>
        <v/>
      </c>
    </row>
    <row r="562">
      <c r="A562" s="53" t="n"/>
      <c r="B562" s="43" t="n"/>
      <c r="C562" s="43" t="n"/>
      <c r="D562" s="54" t="n"/>
      <c r="E562" s="55" t="n"/>
      <c r="F562" s="34">
        <f>IF($C562="","",IFERROR(INDEX(Setup!$D$4:$D$28,MATCH($C562,Setup!$C$4:$C$28,0)),"CHECK"))</f>
        <v/>
      </c>
      <c r="G562" s="56">
        <f>IF($A562="","",MONTH($A562))</f>
        <v/>
      </c>
    </row>
    <row r="563">
      <c r="A563" s="48" t="n"/>
      <c r="B563" s="39" t="n"/>
      <c r="C563" s="39" t="n"/>
      <c r="D563" s="49" t="n"/>
      <c r="E563" s="50" t="n"/>
      <c r="F563" s="33">
        <f>IF($C563="","",IFERROR(INDEX(Setup!$D$4:$D$28,MATCH($C563,Setup!$C$4:$C$28,0)),"CHECK"))</f>
        <v/>
      </c>
      <c r="G563" s="51">
        <f>IF($A563="","",MONTH($A563))</f>
        <v/>
      </c>
    </row>
    <row r="564">
      <c r="A564" s="53" t="n"/>
      <c r="B564" s="43" t="n"/>
      <c r="C564" s="43" t="n"/>
      <c r="D564" s="54" t="n"/>
      <c r="E564" s="55" t="n"/>
      <c r="F564" s="34">
        <f>IF($C564="","",IFERROR(INDEX(Setup!$D$4:$D$28,MATCH($C564,Setup!$C$4:$C$28,0)),"CHECK"))</f>
        <v/>
      </c>
      <c r="G564" s="56">
        <f>IF($A564="","",MONTH($A564))</f>
        <v/>
      </c>
    </row>
    <row r="565">
      <c r="A565" s="48" t="n"/>
      <c r="B565" s="39" t="n"/>
      <c r="C565" s="39" t="n"/>
      <c r="D565" s="49" t="n"/>
      <c r="E565" s="50" t="n"/>
      <c r="F565" s="33">
        <f>IF($C565="","",IFERROR(INDEX(Setup!$D$4:$D$28,MATCH($C565,Setup!$C$4:$C$28,0)),"CHECK"))</f>
        <v/>
      </c>
      <c r="G565" s="51">
        <f>IF($A565="","",MONTH($A565))</f>
        <v/>
      </c>
    </row>
    <row r="566">
      <c r="A566" s="53" t="n"/>
      <c r="B566" s="43" t="n"/>
      <c r="C566" s="43" t="n"/>
      <c r="D566" s="54" t="n"/>
      <c r="E566" s="55" t="n"/>
      <c r="F566" s="34">
        <f>IF($C566="","",IFERROR(INDEX(Setup!$D$4:$D$28,MATCH($C566,Setup!$C$4:$C$28,0)),"CHECK"))</f>
        <v/>
      </c>
      <c r="G566" s="56">
        <f>IF($A566="","",MONTH($A566))</f>
        <v/>
      </c>
    </row>
    <row r="567">
      <c r="A567" s="48" t="n"/>
      <c r="B567" s="39" t="n"/>
      <c r="C567" s="39" t="n"/>
      <c r="D567" s="49" t="n"/>
      <c r="E567" s="50" t="n"/>
      <c r="F567" s="33">
        <f>IF($C567="","",IFERROR(INDEX(Setup!$D$4:$D$28,MATCH($C567,Setup!$C$4:$C$28,0)),"CHECK"))</f>
        <v/>
      </c>
      <c r="G567" s="51">
        <f>IF($A567="","",MONTH($A567))</f>
        <v/>
      </c>
    </row>
    <row r="568">
      <c r="A568" s="53" t="n"/>
      <c r="B568" s="43" t="n"/>
      <c r="C568" s="43" t="n"/>
      <c r="D568" s="54" t="n"/>
      <c r="E568" s="55" t="n"/>
      <c r="F568" s="34">
        <f>IF($C568="","",IFERROR(INDEX(Setup!$D$4:$D$28,MATCH($C568,Setup!$C$4:$C$28,0)),"CHECK"))</f>
        <v/>
      </c>
      <c r="G568" s="56">
        <f>IF($A568="","",MONTH($A568))</f>
        <v/>
      </c>
    </row>
    <row r="569">
      <c r="A569" s="48" t="n"/>
      <c r="B569" s="39" t="n"/>
      <c r="C569" s="39" t="n"/>
      <c r="D569" s="49" t="n"/>
      <c r="E569" s="50" t="n"/>
      <c r="F569" s="33">
        <f>IF($C569="","",IFERROR(INDEX(Setup!$D$4:$D$28,MATCH($C569,Setup!$C$4:$C$28,0)),"CHECK"))</f>
        <v/>
      </c>
      <c r="G569" s="51">
        <f>IF($A569="","",MONTH($A569))</f>
        <v/>
      </c>
    </row>
    <row r="570">
      <c r="A570" s="53" t="n"/>
      <c r="B570" s="43" t="n"/>
      <c r="C570" s="43" t="n"/>
      <c r="D570" s="54" t="n"/>
      <c r="E570" s="55" t="n"/>
      <c r="F570" s="34">
        <f>IF($C570="","",IFERROR(INDEX(Setup!$D$4:$D$28,MATCH($C570,Setup!$C$4:$C$28,0)),"CHECK"))</f>
        <v/>
      </c>
      <c r="G570" s="56">
        <f>IF($A570="","",MONTH($A570))</f>
        <v/>
      </c>
    </row>
    <row r="571">
      <c r="A571" s="48" t="n"/>
      <c r="B571" s="39" t="n"/>
      <c r="C571" s="39" t="n"/>
      <c r="D571" s="49" t="n"/>
      <c r="E571" s="50" t="n"/>
      <c r="F571" s="33">
        <f>IF($C571="","",IFERROR(INDEX(Setup!$D$4:$D$28,MATCH($C571,Setup!$C$4:$C$28,0)),"CHECK"))</f>
        <v/>
      </c>
      <c r="G571" s="51">
        <f>IF($A571="","",MONTH($A571))</f>
        <v/>
      </c>
    </row>
    <row r="572">
      <c r="A572" s="53" t="n"/>
      <c r="B572" s="43" t="n"/>
      <c r="C572" s="43" t="n"/>
      <c r="D572" s="54" t="n"/>
      <c r="E572" s="55" t="n"/>
      <c r="F572" s="34">
        <f>IF($C572="","",IFERROR(INDEX(Setup!$D$4:$D$28,MATCH($C572,Setup!$C$4:$C$28,0)),"CHECK"))</f>
        <v/>
      </c>
      <c r="G572" s="56">
        <f>IF($A572="","",MONTH($A572))</f>
        <v/>
      </c>
    </row>
    <row r="573">
      <c r="A573" s="48" t="n"/>
      <c r="B573" s="39" t="n"/>
      <c r="C573" s="39" t="n"/>
      <c r="D573" s="49" t="n"/>
      <c r="E573" s="50" t="n"/>
      <c r="F573" s="33">
        <f>IF($C573="","",IFERROR(INDEX(Setup!$D$4:$D$28,MATCH($C573,Setup!$C$4:$C$28,0)),"CHECK"))</f>
        <v/>
      </c>
      <c r="G573" s="51">
        <f>IF($A573="","",MONTH($A573))</f>
        <v/>
      </c>
    </row>
    <row r="574">
      <c r="A574" s="53" t="n"/>
      <c r="B574" s="43" t="n"/>
      <c r="C574" s="43" t="n"/>
      <c r="D574" s="54" t="n"/>
      <c r="E574" s="55" t="n"/>
      <c r="F574" s="34">
        <f>IF($C574="","",IFERROR(INDEX(Setup!$D$4:$D$28,MATCH($C574,Setup!$C$4:$C$28,0)),"CHECK"))</f>
        <v/>
      </c>
      <c r="G574" s="56">
        <f>IF($A574="","",MONTH($A574))</f>
        <v/>
      </c>
    </row>
    <row r="575">
      <c r="A575" s="48" t="n"/>
      <c r="B575" s="39" t="n"/>
      <c r="C575" s="39" t="n"/>
      <c r="D575" s="49" t="n"/>
      <c r="E575" s="50" t="n"/>
      <c r="F575" s="33">
        <f>IF($C575="","",IFERROR(INDEX(Setup!$D$4:$D$28,MATCH($C575,Setup!$C$4:$C$28,0)),"CHECK"))</f>
        <v/>
      </c>
      <c r="G575" s="51">
        <f>IF($A575="","",MONTH($A575))</f>
        <v/>
      </c>
    </row>
    <row r="576">
      <c r="A576" s="53" t="n"/>
      <c r="B576" s="43" t="n"/>
      <c r="C576" s="43" t="n"/>
      <c r="D576" s="54" t="n"/>
      <c r="E576" s="55" t="n"/>
      <c r="F576" s="34">
        <f>IF($C576="","",IFERROR(INDEX(Setup!$D$4:$D$28,MATCH($C576,Setup!$C$4:$C$28,0)),"CHECK"))</f>
        <v/>
      </c>
      <c r="G576" s="56">
        <f>IF($A576="","",MONTH($A576))</f>
        <v/>
      </c>
    </row>
    <row r="577">
      <c r="A577" s="48" t="n"/>
      <c r="B577" s="39" t="n"/>
      <c r="C577" s="39" t="n"/>
      <c r="D577" s="49" t="n"/>
      <c r="E577" s="50" t="n"/>
      <c r="F577" s="33">
        <f>IF($C577="","",IFERROR(INDEX(Setup!$D$4:$D$28,MATCH($C577,Setup!$C$4:$C$28,0)),"CHECK"))</f>
        <v/>
      </c>
      <c r="G577" s="51">
        <f>IF($A577="","",MONTH($A577))</f>
        <v/>
      </c>
    </row>
    <row r="578">
      <c r="A578" s="53" t="n"/>
      <c r="B578" s="43" t="n"/>
      <c r="C578" s="43" t="n"/>
      <c r="D578" s="54" t="n"/>
      <c r="E578" s="55" t="n"/>
      <c r="F578" s="34">
        <f>IF($C578="","",IFERROR(INDEX(Setup!$D$4:$D$28,MATCH($C578,Setup!$C$4:$C$28,0)),"CHECK"))</f>
        <v/>
      </c>
      <c r="G578" s="56">
        <f>IF($A578="","",MONTH($A578))</f>
        <v/>
      </c>
    </row>
    <row r="579">
      <c r="A579" s="48" t="n"/>
      <c r="B579" s="39" t="n"/>
      <c r="C579" s="39" t="n"/>
      <c r="D579" s="49" t="n"/>
      <c r="E579" s="50" t="n"/>
      <c r="F579" s="33">
        <f>IF($C579="","",IFERROR(INDEX(Setup!$D$4:$D$28,MATCH($C579,Setup!$C$4:$C$28,0)),"CHECK"))</f>
        <v/>
      </c>
      <c r="G579" s="51">
        <f>IF($A579="","",MONTH($A579))</f>
        <v/>
      </c>
    </row>
    <row r="580">
      <c r="A580" s="53" t="n"/>
      <c r="B580" s="43" t="n"/>
      <c r="C580" s="43" t="n"/>
      <c r="D580" s="54" t="n"/>
      <c r="E580" s="55" t="n"/>
      <c r="F580" s="34">
        <f>IF($C580="","",IFERROR(INDEX(Setup!$D$4:$D$28,MATCH($C580,Setup!$C$4:$C$28,0)),"CHECK"))</f>
        <v/>
      </c>
      <c r="G580" s="56">
        <f>IF($A580="","",MONTH($A580))</f>
        <v/>
      </c>
    </row>
    <row r="581">
      <c r="A581" s="48" t="n"/>
      <c r="B581" s="39" t="n"/>
      <c r="C581" s="39" t="n"/>
      <c r="D581" s="49" t="n"/>
      <c r="E581" s="50" t="n"/>
      <c r="F581" s="33">
        <f>IF($C581="","",IFERROR(INDEX(Setup!$D$4:$D$28,MATCH($C581,Setup!$C$4:$C$28,0)),"CHECK"))</f>
        <v/>
      </c>
      <c r="G581" s="51">
        <f>IF($A581="","",MONTH($A581))</f>
        <v/>
      </c>
    </row>
    <row r="582">
      <c r="A582" s="53" t="n"/>
      <c r="B582" s="43" t="n"/>
      <c r="C582" s="43" t="n"/>
      <c r="D582" s="54" t="n"/>
      <c r="E582" s="55" t="n"/>
      <c r="F582" s="34">
        <f>IF($C582="","",IFERROR(INDEX(Setup!$D$4:$D$28,MATCH($C582,Setup!$C$4:$C$28,0)),"CHECK"))</f>
        <v/>
      </c>
      <c r="G582" s="56">
        <f>IF($A582="","",MONTH($A582))</f>
        <v/>
      </c>
    </row>
    <row r="583">
      <c r="A583" s="48" t="n"/>
      <c r="B583" s="39" t="n"/>
      <c r="C583" s="39" t="n"/>
      <c r="D583" s="49" t="n"/>
      <c r="E583" s="50" t="n"/>
      <c r="F583" s="33">
        <f>IF($C583="","",IFERROR(INDEX(Setup!$D$4:$D$28,MATCH($C583,Setup!$C$4:$C$28,0)),"CHECK"))</f>
        <v/>
      </c>
      <c r="G583" s="51">
        <f>IF($A583="","",MONTH($A583))</f>
        <v/>
      </c>
    </row>
    <row r="584">
      <c r="A584" s="53" t="n"/>
      <c r="B584" s="43" t="n"/>
      <c r="C584" s="43" t="n"/>
      <c r="D584" s="54" t="n"/>
      <c r="E584" s="55" t="n"/>
      <c r="F584" s="34">
        <f>IF($C584="","",IFERROR(INDEX(Setup!$D$4:$D$28,MATCH($C584,Setup!$C$4:$C$28,0)),"CHECK"))</f>
        <v/>
      </c>
      <c r="G584" s="56">
        <f>IF($A584="","",MONTH($A584))</f>
        <v/>
      </c>
    </row>
    <row r="585">
      <c r="A585" s="48" t="n"/>
      <c r="B585" s="39" t="n"/>
      <c r="C585" s="39" t="n"/>
      <c r="D585" s="49" t="n"/>
      <c r="E585" s="50" t="n"/>
      <c r="F585" s="33">
        <f>IF($C585="","",IFERROR(INDEX(Setup!$D$4:$D$28,MATCH($C585,Setup!$C$4:$C$28,0)),"CHECK"))</f>
        <v/>
      </c>
      <c r="G585" s="51">
        <f>IF($A585="","",MONTH($A585))</f>
        <v/>
      </c>
    </row>
    <row r="586">
      <c r="A586" s="53" t="n"/>
      <c r="B586" s="43" t="n"/>
      <c r="C586" s="43" t="n"/>
      <c r="D586" s="54" t="n"/>
      <c r="E586" s="55" t="n"/>
      <c r="F586" s="34">
        <f>IF($C586="","",IFERROR(INDEX(Setup!$D$4:$D$28,MATCH($C586,Setup!$C$4:$C$28,0)),"CHECK"))</f>
        <v/>
      </c>
      <c r="G586" s="56">
        <f>IF($A586="","",MONTH($A586))</f>
        <v/>
      </c>
    </row>
    <row r="587">
      <c r="A587" s="48" t="n"/>
      <c r="B587" s="39" t="n"/>
      <c r="C587" s="39" t="n"/>
      <c r="D587" s="49" t="n"/>
      <c r="E587" s="50" t="n"/>
      <c r="F587" s="33">
        <f>IF($C587="","",IFERROR(INDEX(Setup!$D$4:$D$28,MATCH($C587,Setup!$C$4:$C$28,0)),"CHECK"))</f>
        <v/>
      </c>
      <c r="G587" s="51">
        <f>IF($A587="","",MONTH($A587))</f>
        <v/>
      </c>
    </row>
    <row r="588">
      <c r="A588" s="53" t="n"/>
      <c r="B588" s="43" t="n"/>
      <c r="C588" s="43" t="n"/>
      <c r="D588" s="54" t="n"/>
      <c r="E588" s="55" t="n"/>
      <c r="F588" s="34">
        <f>IF($C588="","",IFERROR(INDEX(Setup!$D$4:$D$28,MATCH($C588,Setup!$C$4:$C$28,0)),"CHECK"))</f>
        <v/>
      </c>
      <c r="G588" s="56">
        <f>IF($A588="","",MONTH($A588))</f>
        <v/>
      </c>
    </row>
    <row r="589">
      <c r="A589" s="48" t="n"/>
      <c r="B589" s="39" t="n"/>
      <c r="C589" s="39" t="n"/>
      <c r="D589" s="49" t="n"/>
      <c r="E589" s="50" t="n"/>
      <c r="F589" s="33">
        <f>IF($C589="","",IFERROR(INDEX(Setup!$D$4:$D$28,MATCH($C589,Setup!$C$4:$C$28,0)),"CHECK"))</f>
        <v/>
      </c>
      <c r="G589" s="51">
        <f>IF($A589="","",MONTH($A589))</f>
        <v/>
      </c>
    </row>
    <row r="590">
      <c r="A590" s="53" t="n"/>
      <c r="B590" s="43" t="n"/>
      <c r="C590" s="43" t="n"/>
      <c r="D590" s="54" t="n"/>
      <c r="E590" s="55" t="n"/>
      <c r="F590" s="34">
        <f>IF($C590="","",IFERROR(INDEX(Setup!$D$4:$D$28,MATCH($C590,Setup!$C$4:$C$28,0)),"CHECK"))</f>
        <v/>
      </c>
      <c r="G590" s="56">
        <f>IF($A590="","",MONTH($A590))</f>
        <v/>
      </c>
    </row>
    <row r="591">
      <c r="A591" s="48" t="n"/>
      <c r="B591" s="39" t="n"/>
      <c r="C591" s="39" t="n"/>
      <c r="D591" s="49" t="n"/>
      <c r="E591" s="50" t="n"/>
      <c r="F591" s="33">
        <f>IF($C591="","",IFERROR(INDEX(Setup!$D$4:$D$28,MATCH($C591,Setup!$C$4:$C$28,0)),"CHECK"))</f>
        <v/>
      </c>
      <c r="G591" s="51">
        <f>IF($A591="","",MONTH($A591))</f>
        <v/>
      </c>
    </row>
    <row r="592">
      <c r="A592" s="53" t="n"/>
      <c r="B592" s="43" t="n"/>
      <c r="C592" s="43" t="n"/>
      <c r="D592" s="54" t="n"/>
      <c r="E592" s="55" t="n"/>
      <c r="F592" s="34">
        <f>IF($C592="","",IFERROR(INDEX(Setup!$D$4:$D$28,MATCH($C592,Setup!$C$4:$C$28,0)),"CHECK"))</f>
        <v/>
      </c>
      <c r="G592" s="56">
        <f>IF($A592="","",MONTH($A592))</f>
        <v/>
      </c>
    </row>
    <row r="593">
      <c r="A593" s="48" t="n"/>
      <c r="B593" s="39" t="n"/>
      <c r="C593" s="39" t="n"/>
      <c r="D593" s="49" t="n"/>
      <c r="E593" s="50" t="n"/>
      <c r="F593" s="33">
        <f>IF($C593="","",IFERROR(INDEX(Setup!$D$4:$D$28,MATCH($C593,Setup!$C$4:$C$28,0)),"CHECK"))</f>
        <v/>
      </c>
      <c r="G593" s="51">
        <f>IF($A593="","",MONTH($A593))</f>
        <v/>
      </c>
    </row>
    <row r="594">
      <c r="A594" s="53" t="n"/>
      <c r="B594" s="43" t="n"/>
      <c r="C594" s="43" t="n"/>
      <c r="D594" s="54" t="n"/>
      <c r="E594" s="55" t="n"/>
      <c r="F594" s="34">
        <f>IF($C594="","",IFERROR(INDEX(Setup!$D$4:$D$28,MATCH($C594,Setup!$C$4:$C$28,0)),"CHECK"))</f>
        <v/>
      </c>
      <c r="G594" s="56">
        <f>IF($A594="","",MONTH($A594))</f>
        <v/>
      </c>
    </row>
    <row r="595">
      <c r="A595" s="48" t="n"/>
      <c r="B595" s="39" t="n"/>
      <c r="C595" s="39" t="n"/>
      <c r="D595" s="49" t="n"/>
      <c r="E595" s="50" t="n"/>
      <c r="F595" s="33">
        <f>IF($C595="","",IFERROR(INDEX(Setup!$D$4:$D$28,MATCH($C595,Setup!$C$4:$C$28,0)),"CHECK"))</f>
        <v/>
      </c>
      <c r="G595" s="51">
        <f>IF($A595="","",MONTH($A595))</f>
        <v/>
      </c>
    </row>
    <row r="596">
      <c r="A596" s="53" t="n"/>
      <c r="B596" s="43" t="n"/>
      <c r="C596" s="43" t="n"/>
      <c r="D596" s="54" t="n"/>
      <c r="E596" s="55" t="n"/>
      <c r="F596" s="34">
        <f>IF($C596="","",IFERROR(INDEX(Setup!$D$4:$D$28,MATCH($C596,Setup!$C$4:$C$28,0)),"CHECK"))</f>
        <v/>
      </c>
      <c r="G596" s="56">
        <f>IF($A596="","",MONTH($A596))</f>
        <v/>
      </c>
    </row>
    <row r="597">
      <c r="A597" s="48" t="n"/>
      <c r="B597" s="39" t="n"/>
      <c r="C597" s="39" t="n"/>
      <c r="D597" s="49" t="n"/>
      <c r="E597" s="50" t="n"/>
      <c r="F597" s="33">
        <f>IF($C597="","",IFERROR(INDEX(Setup!$D$4:$D$28,MATCH($C597,Setup!$C$4:$C$28,0)),"CHECK"))</f>
        <v/>
      </c>
      <c r="G597" s="51">
        <f>IF($A597="","",MONTH($A597))</f>
        <v/>
      </c>
    </row>
    <row r="598">
      <c r="A598" s="53" t="n"/>
      <c r="B598" s="43" t="n"/>
      <c r="C598" s="43" t="n"/>
      <c r="D598" s="54" t="n"/>
      <c r="E598" s="55" t="n"/>
      <c r="F598" s="34">
        <f>IF($C598="","",IFERROR(INDEX(Setup!$D$4:$D$28,MATCH($C598,Setup!$C$4:$C$28,0)),"CHECK"))</f>
        <v/>
      </c>
      <c r="G598" s="56">
        <f>IF($A598="","",MONTH($A598))</f>
        <v/>
      </c>
    </row>
    <row r="599">
      <c r="A599" s="48" t="n"/>
      <c r="B599" s="39" t="n"/>
      <c r="C599" s="39" t="n"/>
      <c r="D599" s="49" t="n"/>
      <c r="E599" s="50" t="n"/>
      <c r="F599" s="33">
        <f>IF($C599="","",IFERROR(INDEX(Setup!$D$4:$D$28,MATCH($C599,Setup!$C$4:$C$28,0)),"CHECK"))</f>
        <v/>
      </c>
      <c r="G599" s="51">
        <f>IF($A599="","",MONTH($A599))</f>
        <v/>
      </c>
    </row>
    <row r="600">
      <c r="A600" s="53" t="n"/>
      <c r="B600" s="43" t="n"/>
      <c r="C600" s="43" t="n"/>
      <c r="D600" s="54" t="n"/>
      <c r="E600" s="55" t="n"/>
      <c r="F600" s="34">
        <f>IF($C600="","",IFERROR(INDEX(Setup!$D$4:$D$28,MATCH($C600,Setup!$C$4:$C$28,0)),"CHECK"))</f>
        <v/>
      </c>
      <c r="G600" s="56">
        <f>IF($A600="","",MONTH($A600))</f>
        <v/>
      </c>
    </row>
    <row r="601">
      <c r="A601" s="48" t="n"/>
      <c r="B601" s="39" t="n"/>
      <c r="C601" s="39" t="n"/>
      <c r="D601" s="49" t="n"/>
      <c r="E601" s="50" t="n"/>
      <c r="F601" s="33">
        <f>IF($C601="","",IFERROR(INDEX(Setup!$D$4:$D$28,MATCH($C601,Setup!$C$4:$C$28,0)),"CHECK"))</f>
        <v/>
      </c>
      <c r="G601" s="51">
        <f>IF($A601="","",MONTH($A601))</f>
        <v/>
      </c>
    </row>
    <row r="602">
      <c r="A602" s="53" t="n"/>
      <c r="B602" s="43" t="n"/>
      <c r="C602" s="43" t="n"/>
      <c r="D602" s="54" t="n"/>
      <c r="E602" s="55" t="n"/>
      <c r="F602" s="34">
        <f>IF($C602="","",IFERROR(INDEX(Setup!$D$4:$D$28,MATCH($C602,Setup!$C$4:$C$28,0)),"CHECK"))</f>
        <v/>
      </c>
      <c r="G602" s="56">
        <f>IF($A602="","",MONTH($A602))</f>
        <v/>
      </c>
    </row>
    <row r="603">
      <c r="A603" s="48" t="n"/>
      <c r="B603" s="39" t="n"/>
      <c r="C603" s="39" t="n"/>
      <c r="D603" s="49" t="n"/>
      <c r="E603" s="50" t="n"/>
      <c r="F603" s="33">
        <f>IF($C603="","",IFERROR(INDEX(Setup!$D$4:$D$28,MATCH($C603,Setup!$C$4:$C$28,0)),"CHECK"))</f>
        <v/>
      </c>
      <c r="G603" s="51">
        <f>IF($A603="","",MONTH($A603))</f>
        <v/>
      </c>
    </row>
    <row r="604">
      <c r="A604" s="53" t="n"/>
      <c r="B604" s="43" t="n"/>
      <c r="C604" s="43" t="n"/>
      <c r="D604" s="54" t="n"/>
      <c r="E604" s="55" t="n"/>
      <c r="F604" s="34">
        <f>IF($C604="","",IFERROR(INDEX(Setup!$D$4:$D$28,MATCH($C604,Setup!$C$4:$C$28,0)),"CHECK"))</f>
        <v/>
      </c>
      <c r="G604" s="56">
        <f>IF($A604="","",MONTH($A604))</f>
        <v/>
      </c>
    </row>
    <row r="605">
      <c r="A605" s="48" t="n"/>
      <c r="B605" s="39" t="n"/>
      <c r="C605" s="39" t="n"/>
      <c r="D605" s="49" t="n"/>
      <c r="E605" s="50" t="n"/>
      <c r="F605" s="33">
        <f>IF($C605="","",IFERROR(INDEX(Setup!$D$4:$D$28,MATCH($C605,Setup!$C$4:$C$28,0)),"CHECK"))</f>
        <v/>
      </c>
      <c r="G605" s="51">
        <f>IF($A605="","",MONTH($A605))</f>
        <v/>
      </c>
    </row>
    <row r="606">
      <c r="A606" s="53" t="n"/>
      <c r="B606" s="43" t="n"/>
      <c r="C606" s="43" t="n"/>
      <c r="D606" s="54" t="n"/>
      <c r="E606" s="55" t="n"/>
      <c r="F606" s="34">
        <f>IF($C606="","",IFERROR(INDEX(Setup!$D$4:$D$28,MATCH($C606,Setup!$C$4:$C$28,0)),"CHECK"))</f>
        <v/>
      </c>
      <c r="G606" s="56">
        <f>IF($A606="","",MONTH($A606))</f>
        <v/>
      </c>
    </row>
    <row r="607">
      <c r="A607" s="48" t="n"/>
      <c r="B607" s="39" t="n"/>
      <c r="C607" s="39" t="n"/>
      <c r="D607" s="49" t="n"/>
      <c r="E607" s="50" t="n"/>
      <c r="F607" s="33">
        <f>IF($C607="","",IFERROR(INDEX(Setup!$D$4:$D$28,MATCH($C607,Setup!$C$4:$C$28,0)),"CHECK"))</f>
        <v/>
      </c>
      <c r="G607" s="51">
        <f>IF($A607="","",MONTH($A607))</f>
        <v/>
      </c>
    </row>
    <row r="608">
      <c r="A608" s="53" t="n"/>
      <c r="B608" s="43" t="n"/>
      <c r="C608" s="43" t="n"/>
      <c r="D608" s="54" t="n"/>
      <c r="E608" s="55" t="n"/>
      <c r="F608" s="34">
        <f>IF($C608="","",IFERROR(INDEX(Setup!$D$4:$D$28,MATCH($C608,Setup!$C$4:$C$28,0)),"CHECK"))</f>
        <v/>
      </c>
      <c r="G608" s="56">
        <f>IF($A608="","",MONTH($A608))</f>
        <v/>
      </c>
    </row>
    <row r="609">
      <c r="A609" s="48" t="n"/>
      <c r="B609" s="39" t="n"/>
      <c r="C609" s="39" t="n"/>
      <c r="D609" s="49" t="n"/>
      <c r="E609" s="50" t="n"/>
      <c r="F609" s="33">
        <f>IF($C609="","",IFERROR(INDEX(Setup!$D$4:$D$28,MATCH($C609,Setup!$C$4:$C$28,0)),"CHECK"))</f>
        <v/>
      </c>
      <c r="G609" s="51">
        <f>IF($A609="","",MONTH($A609))</f>
        <v/>
      </c>
    </row>
    <row r="610">
      <c r="A610" s="53" t="n"/>
      <c r="B610" s="43" t="n"/>
      <c r="C610" s="43" t="n"/>
      <c r="D610" s="54" t="n"/>
      <c r="E610" s="55" t="n"/>
      <c r="F610" s="34">
        <f>IF($C610="","",IFERROR(INDEX(Setup!$D$4:$D$28,MATCH($C610,Setup!$C$4:$C$28,0)),"CHECK"))</f>
        <v/>
      </c>
      <c r="G610" s="56">
        <f>IF($A610="","",MONTH($A610))</f>
        <v/>
      </c>
    </row>
    <row r="611">
      <c r="A611" s="48" t="n"/>
      <c r="B611" s="39" t="n"/>
      <c r="C611" s="39" t="n"/>
      <c r="D611" s="49" t="n"/>
      <c r="E611" s="50" t="n"/>
      <c r="F611" s="33">
        <f>IF($C611="","",IFERROR(INDEX(Setup!$D$4:$D$28,MATCH($C611,Setup!$C$4:$C$28,0)),"CHECK"))</f>
        <v/>
      </c>
      <c r="G611" s="51">
        <f>IF($A611="","",MONTH($A611))</f>
        <v/>
      </c>
    </row>
    <row r="612">
      <c r="A612" s="53" t="n"/>
      <c r="B612" s="43" t="n"/>
      <c r="C612" s="43" t="n"/>
      <c r="D612" s="54" t="n"/>
      <c r="E612" s="55" t="n"/>
      <c r="F612" s="34">
        <f>IF($C612="","",IFERROR(INDEX(Setup!$D$4:$D$28,MATCH($C612,Setup!$C$4:$C$28,0)),"CHECK"))</f>
        <v/>
      </c>
      <c r="G612" s="56">
        <f>IF($A612="","",MONTH($A612))</f>
        <v/>
      </c>
    </row>
    <row r="613">
      <c r="A613" s="48" t="n"/>
      <c r="B613" s="39" t="n"/>
      <c r="C613" s="39" t="n"/>
      <c r="D613" s="49" t="n"/>
      <c r="E613" s="50" t="n"/>
      <c r="F613" s="33">
        <f>IF($C613="","",IFERROR(INDEX(Setup!$D$4:$D$28,MATCH($C613,Setup!$C$4:$C$28,0)),"CHECK"))</f>
        <v/>
      </c>
      <c r="G613" s="51">
        <f>IF($A613="","",MONTH($A613))</f>
        <v/>
      </c>
    </row>
    <row r="614">
      <c r="A614" s="53" t="n"/>
      <c r="B614" s="43" t="n"/>
      <c r="C614" s="43" t="n"/>
      <c r="D614" s="54" t="n"/>
      <c r="E614" s="55" t="n"/>
      <c r="F614" s="34">
        <f>IF($C614="","",IFERROR(INDEX(Setup!$D$4:$D$28,MATCH($C614,Setup!$C$4:$C$28,0)),"CHECK"))</f>
        <v/>
      </c>
      <c r="G614" s="56">
        <f>IF($A614="","",MONTH($A614))</f>
        <v/>
      </c>
    </row>
    <row r="615">
      <c r="A615" s="48" t="n"/>
      <c r="B615" s="39" t="n"/>
      <c r="C615" s="39" t="n"/>
      <c r="D615" s="49" t="n"/>
      <c r="E615" s="50" t="n"/>
      <c r="F615" s="33">
        <f>IF($C615="","",IFERROR(INDEX(Setup!$D$4:$D$28,MATCH($C615,Setup!$C$4:$C$28,0)),"CHECK"))</f>
        <v/>
      </c>
      <c r="G615" s="51">
        <f>IF($A615="","",MONTH($A615))</f>
        <v/>
      </c>
    </row>
    <row r="616">
      <c r="A616" s="53" t="n"/>
      <c r="B616" s="43" t="n"/>
      <c r="C616" s="43" t="n"/>
      <c r="D616" s="54" t="n"/>
      <c r="E616" s="55" t="n"/>
      <c r="F616" s="34">
        <f>IF($C616="","",IFERROR(INDEX(Setup!$D$4:$D$28,MATCH($C616,Setup!$C$4:$C$28,0)),"CHECK"))</f>
        <v/>
      </c>
      <c r="G616" s="56">
        <f>IF($A616="","",MONTH($A616))</f>
        <v/>
      </c>
    </row>
    <row r="617">
      <c r="A617" s="48" t="n"/>
      <c r="B617" s="39" t="n"/>
      <c r="C617" s="39" t="n"/>
      <c r="D617" s="49" t="n"/>
      <c r="E617" s="50" t="n"/>
      <c r="F617" s="33">
        <f>IF($C617="","",IFERROR(INDEX(Setup!$D$4:$D$28,MATCH($C617,Setup!$C$4:$C$28,0)),"CHECK"))</f>
        <v/>
      </c>
      <c r="G617" s="51">
        <f>IF($A617="","",MONTH($A617))</f>
        <v/>
      </c>
    </row>
    <row r="618">
      <c r="A618" s="53" t="n"/>
      <c r="B618" s="43" t="n"/>
      <c r="C618" s="43" t="n"/>
      <c r="D618" s="54" t="n"/>
      <c r="E618" s="55" t="n"/>
      <c r="F618" s="34">
        <f>IF($C618="","",IFERROR(INDEX(Setup!$D$4:$D$28,MATCH($C618,Setup!$C$4:$C$28,0)),"CHECK"))</f>
        <v/>
      </c>
      <c r="G618" s="56">
        <f>IF($A618="","",MONTH($A618))</f>
        <v/>
      </c>
    </row>
    <row r="619">
      <c r="A619" s="48" t="n"/>
      <c r="B619" s="39" t="n"/>
      <c r="C619" s="39" t="n"/>
      <c r="D619" s="49" t="n"/>
      <c r="E619" s="50" t="n"/>
      <c r="F619" s="33">
        <f>IF($C619="","",IFERROR(INDEX(Setup!$D$4:$D$28,MATCH($C619,Setup!$C$4:$C$28,0)),"CHECK"))</f>
        <v/>
      </c>
      <c r="G619" s="51">
        <f>IF($A619="","",MONTH($A619))</f>
        <v/>
      </c>
    </row>
    <row r="620">
      <c r="A620" s="53" t="n"/>
      <c r="B620" s="43" t="n"/>
      <c r="C620" s="43" t="n"/>
      <c r="D620" s="54" t="n"/>
      <c r="E620" s="55" t="n"/>
      <c r="F620" s="34">
        <f>IF($C620="","",IFERROR(INDEX(Setup!$D$4:$D$28,MATCH($C620,Setup!$C$4:$C$28,0)),"CHECK"))</f>
        <v/>
      </c>
      <c r="G620" s="56">
        <f>IF($A620="","",MONTH($A620))</f>
        <v/>
      </c>
    </row>
    <row r="621">
      <c r="A621" s="48" t="n"/>
      <c r="B621" s="39" t="n"/>
      <c r="C621" s="39" t="n"/>
      <c r="D621" s="49" t="n"/>
      <c r="E621" s="50" t="n"/>
      <c r="F621" s="33">
        <f>IF($C621="","",IFERROR(INDEX(Setup!$D$4:$D$28,MATCH($C621,Setup!$C$4:$C$28,0)),"CHECK"))</f>
        <v/>
      </c>
      <c r="G621" s="51">
        <f>IF($A621="","",MONTH($A621))</f>
        <v/>
      </c>
    </row>
    <row r="622">
      <c r="A622" s="53" t="n"/>
      <c r="B622" s="43" t="n"/>
      <c r="C622" s="43" t="n"/>
      <c r="D622" s="54" t="n"/>
      <c r="E622" s="55" t="n"/>
      <c r="F622" s="34">
        <f>IF($C622="","",IFERROR(INDEX(Setup!$D$4:$D$28,MATCH($C622,Setup!$C$4:$C$28,0)),"CHECK"))</f>
        <v/>
      </c>
      <c r="G622" s="56">
        <f>IF($A622="","",MONTH($A622))</f>
        <v/>
      </c>
    </row>
    <row r="623">
      <c r="A623" s="48" t="n"/>
      <c r="B623" s="39" t="n"/>
      <c r="C623" s="39" t="n"/>
      <c r="D623" s="49" t="n"/>
      <c r="E623" s="50" t="n"/>
      <c r="F623" s="33">
        <f>IF($C623="","",IFERROR(INDEX(Setup!$D$4:$D$28,MATCH($C623,Setup!$C$4:$C$28,0)),"CHECK"))</f>
        <v/>
      </c>
      <c r="G623" s="51">
        <f>IF($A623="","",MONTH($A623))</f>
        <v/>
      </c>
    </row>
    <row r="624">
      <c r="A624" s="53" t="n"/>
      <c r="B624" s="43" t="n"/>
      <c r="C624" s="43" t="n"/>
      <c r="D624" s="54" t="n"/>
      <c r="E624" s="55" t="n"/>
      <c r="F624" s="34">
        <f>IF($C624="","",IFERROR(INDEX(Setup!$D$4:$D$28,MATCH($C624,Setup!$C$4:$C$28,0)),"CHECK"))</f>
        <v/>
      </c>
      <c r="G624" s="56">
        <f>IF($A624="","",MONTH($A624))</f>
        <v/>
      </c>
    </row>
    <row r="625">
      <c r="A625" s="48" t="n"/>
      <c r="B625" s="39" t="n"/>
      <c r="C625" s="39" t="n"/>
      <c r="D625" s="49" t="n"/>
      <c r="E625" s="50" t="n"/>
      <c r="F625" s="33">
        <f>IF($C625="","",IFERROR(INDEX(Setup!$D$4:$D$28,MATCH($C625,Setup!$C$4:$C$28,0)),"CHECK"))</f>
        <v/>
      </c>
      <c r="G625" s="51">
        <f>IF($A625="","",MONTH($A625))</f>
        <v/>
      </c>
    </row>
    <row r="626">
      <c r="A626" s="53" t="n"/>
      <c r="B626" s="43" t="n"/>
      <c r="C626" s="43" t="n"/>
      <c r="D626" s="54" t="n"/>
      <c r="E626" s="55" t="n"/>
      <c r="F626" s="34">
        <f>IF($C626="","",IFERROR(INDEX(Setup!$D$4:$D$28,MATCH($C626,Setup!$C$4:$C$28,0)),"CHECK"))</f>
        <v/>
      </c>
      <c r="G626" s="56">
        <f>IF($A626="","",MONTH($A626))</f>
        <v/>
      </c>
    </row>
    <row r="627">
      <c r="A627" s="48" t="n"/>
      <c r="B627" s="39" t="n"/>
      <c r="C627" s="39" t="n"/>
      <c r="D627" s="49" t="n"/>
      <c r="E627" s="50" t="n"/>
      <c r="F627" s="33">
        <f>IF($C627="","",IFERROR(INDEX(Setup!$D$4:$D$28,MATCH($C627,Setup!$C$4:$C$28,0)),"CHECK"))</f>
        <v/>
      </c>
      <c r="G627" s="51">
        <f>IF($A627="","",MONTH($A627))</f>
        <v/>
      </c>
    </row>
    <row r="628">
      <c r="A628" s="53" t="n"/>
      <c r="B628" s="43" t="n"/>
      <c r="C628" s="43" t="n"/>
      <c r="D628" s="54" t="n"/>
      <c r="E628" s="55" t="n"/>
      <c r="F628" s="34">
        <f>IF($C628="","",IFERROR(INDEX(Setup!$D$4:$D$28,MATCH($C628,Setup!$C$4:$C$28,0)),"CHECK"))</f>
        <v/>
      </c>
      <c r="G628" s="56">
        <f>IF($A628="","",MONTH($A628))</f>
        <v/>
      </c>
    </row>
    <row r="629">
      <c r="A629" s="48" t="n"/>
      <c r="B629" s="39" t="n"/>
      <c r="C629" s="39" t="n"/>
      <c r="D629" s="49" t="n"/>
      <c r="E629" s="50" t="n"/>
      <c r="F629" s="33">
        <f>IF($C629="","",IFERROR(INDEX(Setup!$D$4:$D$28,MATCH($C629,Setup!$C$4:$C$28,0)),"CHECK"))</f>
        <v/>
      </c>
      <c r="G629" s="51">
        <f>IF($A629="","",MONTH($A629))</f>
        <v/>
      </c>
    </row>
    <row r="630">
      <c r="A630" s="53" t="n"/>
      <c r="B630" s="43" t="n"/>
      <c r="C630" s="43" t="n"/>
      <c r="D630" s="54" t="n"/>
      <c r="E630" s="55" t="n"/>
      <c r="F630" s="34">
        <f>IF($C630="","",IFERROR(INDEX(Setup!$D$4:$D$28,MATCH($C630,Setup!$C$4:$C$28,0)),"CHECK"))</f>
        <v/>
      </c>
      <c r="G630" s="56">
        <f>IF($A630="","",MONTH($A630))</f>
        <v/>
      </c>
    </row>
    <row r="631">
      <c r="A631" s="48" t="n"/>
      <c r="B631" s="39" t="n"/>
      <c r="C631" s="39" t="n"/>
      <c r="D631" s="49" t="n"/>
      <c r="E631" s="50" t="n"/>
      <c r="F631" s="33">
        <f>IF($C631="","",IFERROR(INDEX(Setup!$D$4:$D$28,MATCH($C631,Setup!$C$4:$C$28,0)),"CHECK"))</f>
        <v/>
      </c>
      <c r="G631" s="51">
        <f>IF($A631="","",MONTH($A631))</f>
        <v/>
      </c>
    </row>
    <row r="632">
      <c r="A632" s="53" t="n"/>
      <c r="B632" s="43" t="n"/>
      <c r="C632" s="43" t="n"/>
      <c r="D632" s="54" t="n"/>
      <c r="E632" s="55" t="n"/>
      <c r="F632" s="34">
        <f>IF($C632="","",IFERROR(INDEX(Setup!$D$4:$D$28,MATCH($C632,Setup!$C$4:$C$28,0)),"CHECK"))</f>
        <v/>
      </c>
      <c r="G632" s="56">
        <f>IF($A632="","",MONTH($A632))</f>
        <v/>
      </c>
    </row>
    <row r="633">
      <c r="A633" s="48" t="n"/>
      <c r="B633" s="39" t="n"/>
      <c r="C633" s="39" t="n"/>
      <c r="D633" s="49" t="n"/>
      <c r="E633" s="50" t="n"/>
      <c r="F633" s="33">
        <f>IF($C633="","",IFERROR(INDEX(Setup!$D$4:$D$28,MATCH($C633,Setup!$C$4:$C$28,0)),"CHECK"))</f>
        <v/>
      </c>
      <c r="G633" s="51">
        <f>IF($A633="","",MONTH($A633))</f>
        <v/>
      </c>
    </row>
    <row r="634">
      <c r="A634" s="53" t="n"/>
      <c r="B634" s="43" t="n"/>
      <c r="C634" s="43" t="n"/>
      <c r="D634" s="54" t="n"/>
      <c r="E634" s="55" t="n"/>
      <c r="F634" s="34">
        <f>IF($C634="","",IFERROR(INDEX(Setup!$D$4:$D$28,MATCH($C634,Setup!$C$4:$C$28,0)),"CHECK"))</f>
        <v/>
      </c>
      <c r="G634" s="56">
        <f>IF($A634="","",MONTH($A634))</f>
        <v/>
      </c>
    </row>
    <row r="635">
      <c r="A635" s="48" t="n"/>
      <c r="B635" s="39" t="n"/>
      <c r="C635" s="39" t="n"/>
      <c r="D635" s="49" t="n"/>
      <c r="E635" s="50" t="n"/>
      <c r="F635" s="33">
        <f>IF($C635="","",IFERROR(INDEX(Setup!$D$4:$D$28,MATCH($C635,Setup!$C$4:$C$28,0)),"CHECK"))</f>
        <v/>
      </c>
      <c r="G635" s="51">
        <f>IF($A635="","",MONTH($A635))</f>
        <v/>
      </c>
    </row>
    <row r="636">
      <c r="A636" s="53" t="n"/>
      <c r="B636" s="43" t="n"/>
      <c r="C636" s="43" t="n"/>
      <c r="D636" s="54" t="n"/>
      <c r="E636" s="55" t="n"/>
      <c r="F636" s="34">
        <f>IF($C636="","",IFERROR(INDEX(Setup!$D$4:$D$28,MATCH($C636,Setup!$C$4:$C$28,0)),"CHECK"))</f>
        <v/>
      </c>
      <c r="G636" s="56">
        <f>IF($A636="","",MONTH($A636))</f>
        <v/>
      </c>
    </row>
    <row r="637">
      <c r="A637" s="48" t="n"/>
      <c r="B637" s="39" t="n"/>
      <c r="C637" s="39" t="n"/>
      <c r="D637" s="49" t="n"/>
      <c r="E637" s="50" t="n"/>
      <c r="F637" s="33">
        <f>IF($C637="","",IFERROR(INDEX(Setup!$D$4:$D$28,MATCH($C637,Setup!$C$4:$C$28,0)),"CHECK"))</f>
        <v/>
      </c>
      <c r="G637" s="51">
        <f>IF($A637="","",MONTH($A637))</f>
        <v/>
      </c>
    </row>
    <row r="638">
      <c r="A638" s="53" t="n"/>
      <c r="B638" s="43" t="n"/>
      <c r="C638" s="43" t="n"/>
      <c r="D638" s="54" t="n"/>
      <c r="E638" s="55" t="n"/>
      <c r="F638" s="34">
        <f>IF($C638="","",IFERROR(INDEX(Setup!$D$4:$D$28,MATCH($C638,Setup!$C$4:$C$28,0)),"CHECK"))</f>
        <v/>
      </c>
      <c r="G638" s="56">
        <f>IF($A638="","",MONTH($A638))</f>
        <v/>
      </c>
    </row>
    <row r="639">
      <c r="A639" s="48" t="n"/>
      <c r="B639" s="39" t="n"/>
      <c r="C639" s="39" t="n"/>
      <c r="D639" s="49" t="n"/>
      <c r="E639" s="50" t="n"/>
      <c r="F639" s="33">
        <f>IF($C639="","",IFERROR(INDEX(Setup!$D$4:$D$28,MATCH($C639,Setup!$C$4:$C$28,0)),"CHECK"))</f>
        <v/>
      </c>
      <c r="G639" s="51">
        <f>IF($A639="","",MONTH($A639))</f>
        <v/>
      </c>
    </row>
    <row r="640">
      <c r="A640" s="53" t="n"/>
      <c r="B640" s="43" t="n"/>
      <c r="C640" s="43" t="n"/>
      <c r="D640" s="54" t="n"/>
      <c r="E640" s="55" t="n"/>
      <c r="F640" s="34">
        <f>IF($C640="","",IFERROR(INDEX(Setup!$D$4:$D$28,MATCH($C640,Setup!$C$4:$C$28,0)),"CHECK"))</f>
        <v/>
      </c>
      <c r="G640" s="56">
        <f>IF($A640="","",MONTH($A640))</f>
        <v/>
      </c>
    </row>
    <row r="641">
      <c r="A641" s="48" t="n"/>
      <c r="B641" s="39" t="n"/>
      <c r="C641" s="39" t="n"/>
      <c r="D641" s="49" t="n"/>
      <c r="E641" s="50" t="n"/>
      <c r="F641" s="33">
        <f>IF($C641="","",IFERROR(INDEX(Setup!$D$4:$D$28,MATCH($C641,Setup!$C$4:$C$28,0)),"CHECK"))</f>
        <v/>
      </c>
      <c r="G641" s="51">
        <f>IF($A641="","",MONTH($A641))</f>
        <v/>
      </c>
    </row>
    <row r="642">
      <c r="A642" s="53" t="n"/>
      <c r="B642" s="43" t="n"/>
      <c r="C642" s="43" t="n"/>
      <c r="D642" s="54" t="n"/>
      <c r="E642" s="55" t="n"/>
      <c r="F642" s="34">
        <f>IF($C642="","",IFERROR(INDEX(Setup!$D$4:$D$28,MATCH($C642,Setup!$C$4:$C$28,0)),"CHECK"))</f>
        <v/>
      </c>
      <c r="G642" s="56">
        <f>IF($A642="","",MONTH($A642))</f>
        <v/>
      </c>
    </row>
    <row r="643">
      <c r="A643" s="48" t="n"/>
      <c r="B643" s="39" t="n"/>
      <c r="C643" s="39" t="n"/>
      <c r="D643" s="49" t="n"/>
      <c r="E643" s="50" t="n"/>
      <c r="F643" s="33">
        <f>IF($C643="","",IFERROR(INDEX(Setup!$D$4:$D$28,MATCH($C643,Setup!$C$4:$C$28,0)),"CHECK"))</f>
        <v/>
      </c>
      <c r="G643" s="51">
        <f>IF($A643="","",MONTH($A643))</f>
        <v/>
      </c>
    </row>
    <row r="644">
      <c r="A644" s="53" t="n"/>
      <c r="B644" s="43" t="n"/>
      <c r="C644" s="43" t="n"/>
      <c r="D644" s="54" t="n"/>
      <c r="E644" s="55" t="n"/>
      <c r="F644" s="34">
        <f>IF($C644="","",IFERROR(INDEX(Setup!$D$4:$D$28,MATCH($C644,Setup!$C$4:$C$28,0)),"CHECK"))</f>
        <v/>
      </c>
      <c r="G644" s="56">
        <f>IF($A644="","",MONTH($A644))</f>
        <v/>
      </c>
    </row>
    <row r="645">
      <c r="A645" s="48" t="n"/>
      <c r="B645" s="39" t="n"/>
      <c r="C645" s="39" t="n"/>
      <c r="D645" s="49" t="n"/>
      <c r="E645" s="50" t="n"/>
      <c r="F645" s="33">
        <f>IF($C645="","",IFERROR(INDEX(Setup!$D$4:$D$28,MATCH($C645,Setup!$C$4:$C$28,0)),"CHECK"))</f>
        <v/>
      </c>
      <c r="G645" s="51">
        <f>IF($A645="","",MONTH($A645))</f>
        <v/>
      </c>
    </row>
    <row r="646">
      <c r="A646" s="53" t="n"/>
      <c r="B646" s="43" t="n"/>
      <c r="C646" s="43" t="n"/>
      <c r="D646" s="54" t="n"/>
      <c r="E646" s="55" t="n"/>
      <c r="F646" s="34">
        <f>IF($C646="","",IFERROR(INDEX(Setup!$D$4:$D$28,MATCH($C646,Setup!$C$4:$C$28,0)),"CHECK"))</f>
        <v/>
      </c>
      <c r="G646" s="56">
        <f>IF($A646="","",MONTH($A646))</f>
        <v/>
      </c>
    </row>
    <row r="647">
      <c r="A647" s="48" t="n"/>
      <c r="B647" s="39" t="n"/>
      <c r="C647" s="39" t="n"/>
      <c r="D647" s="49" t="n"/>
      <c r="E647" s="50" t="n"/>
      <c r="F647" s="33">
        <f>IF($C647="","",IFERROR(INDEX(Setup!$D$4:$D$28,MATCH($C647,Setup!$C$4:$C$28,0)),"CHECK"))</f>
        <v/>
      </c>
      <c r="G647" s="51">
        <f>IF($A647="","",MONTH($A647))</f>
        <v/>
      </c>
    </row>
    <row r="648">
      <c r="A648" s="53" t="n"/>
      <c r="B648" s="43" t="n"/>
      <c r="C648" s="43" t="n"/>
      <c r="D648" s="54" t="n"/>
      <c r="E648" s="55" t="n"/>
      <c r="F648" s="34">
        <f>IF($C648="","",IFERROR(INDEX(Setup!$D$4:$D$28,MATCH($C648,Setup!$C$4:$C$28,0)),"CHECK"))</f>
        <v/>
      </c>
      <c r="G648" s="56">
        <f>IF($A648="","",MONTH($A648))</f>
        <v/>
      </c>
    </row>
    <row r="649">
      <c r="A649" s="48" t="n"/>
      <c r="B649" s="39" t="n"/>
      <c r="C649" s="39" t="n"/>
      <c r="D649" s="49" t="n"/>
      <c r="E649" s="50" t="n"/>
      <c r="F649" s="33">
        <f>IF($C649="","",IFERROR(INDEX(Setup!$D$4:$D$28,MATCH($C649,Setup!$C$4:$C$28,0)),"CHECK"))</f>
        <v/>
      </c>
      <c r="G649" s="51">
        <f>IF($A649="","",MONTH($A649))</f>
        <v/>
      </c>
    </row>
    <row r="650">
      <c r="A650" s="53" t="n"/>
      <c r="B650" s="43" t="n"/>
      <c r="C650" s="43" t="n"/>
      <c r="D650" s="54" t="n"/>
      <c r="E650" s="55" t="n"/>
      <c r="F650" s="34">
        <f>IF($C650="","",IFERROR(INDEX(Setup!$D$4:$D$28,MATCH($C650,Setup!$C$4:$C$28,0)),"CHECK"))</f>
        <v/>
      </c>
      <c r="G650" s="56">
        <f>IF($A650="","",MONTH($A650))</f>
        <v/>
      </c>
    </row>
    <row r="651">
      <c r="A651" s="48" t="n"/>
      <c r="B651" s="39" t="n"/>
      <c r="C651" s="39" t="n"/>
      <c r="D651" s="49" t="n"/>
      <c r="E651" s="50" t="n"/>
      <c r="F651" s="33">
        <f>IF($C651="","",IFERROR(INDEX(Setup!$D$4:$D$28,MATCH($C651,Setup!$C$4:$C$28,0)),"CHECK"))</f>
        <v/>
      </c>
      <c r="G651" s="51">
        <f>IF($A651="","",MONTH($A651))</f>
        <v/>
      </c>
    </row>
    <row r="652">
      <c r="A652" s="53" t="n"/>
      <c r="B652" s="43" t="n"/>
      <c r="C652" s="43" t="n"/>
      <c r="D652" s="54" t="n"/>
      <c r="E652" s="55" t="n"/>
      <c r="F652" s="34">
        <f>IF($C652="","",IFERROR(INDEX(Setup!$D$4:$D$28,MATCH($C652,Setup!$C$4:$C$28,0)),"CHECK"))</f>
        <v/>
      </c>
      <c r="G652" s="56">
        <f>IF($A652="","",MONTH($A652))</f>
        <v/>
      </c>
    </row>
    <row r="653">
      <c r="A653" s="48" t="n"/>
      <c r="B653" s="39" t="n"/>
      <c r="C653" s="39" t="n"/>
      <c r="D653" s="49" t="n"/>
      <c r="E653" s="50" t="n"/>
      <c r="F653" s="33">
        <f>IF($C653="","",IFERROR(INDEX(Setup!$D$4:$D$28,MATCH($C653,Setup!$C$4:$C$28,0)),"CHECK"))</f>
        <v/>
      </c>
      <c r="G653" s="51">
        <f>IF($A653="","",MONTH($A653))</f>
        <v/>
      </c>
    </row>
    <row r="654">
      <c r="A654" s="53" t="n"/>
      <c r="B654" s="43" t="n"/>
      <c r="C654" s="43" t="n"/>
      <c r="D654" s="54" t="n"/>
      <c r="E654" s="55" t="n"/>
      <c r="F654" s="34">
        <f>IF($C654="","",IFERROR(INDEX(Setup!$D$4:$D$28,MATCH($C654,Setup!$C$4:$C$28,0)),"CHECK"))</f>
        <v/>
      </c>
      <c r="G654" s="56">
        <f>IF($A654="","",MONTH($A654))</f>
        <v/>
      </c>
    </row>
    <row r="655">
      <c r="A655" s="48" t="n"/>
      <c r="B655" s="39" t="n"/>
      <c r="C655" s="39" t="n"/>
      <c r="D655" s="49" t="n"/>
      <c r="E655" s="50" t="n"/>
      <c r="F655" s="33">
        <f>IF($C655="","",IFERROR(INDEX(Setup!$D$4:$D$28,MATCH($C655,Setup!$C$4:$C$28,0)),"CHECK"))</f>
        <v/>
      </c>
      <c r="G655" s="51">
        <f>IF($A655="","",MONTH($A655))</f>
        <v/>
      </c>
    </row>
    <row r="656">
      <c r="A656" s="53" t="n"/>
      <c r="B656" s="43" t="n"/>
      <c r="C656" s="43" t="n"/>
      <c r="D656" s="54" t="n"/>
      <c r="E656" s="55" t="n"/>
      <c r="F656" s="34">
        <f>IF($C656="","",IFERROR(INDEX(Setup!$D$4:$D$28,MATCH($C656,Setup!$C$4:$C$28,0)),"CHECK"))</f>
        <v/>
      </c>
      <c r="G656" s="56">
        <f>IF($A656="","",MONTH($A656))</f>
        <v/>
      </c>
    </row>
    <row r="657">
      <c r="A657" s="48" t="n"/>
      <c r="B657" s="39" t="n"/>
      <c r="C657" s="39" t="n"/>
      <c r="D657" s="49" t="n"/>
      <c r="E657" s="50" t="n"/>
      <c r="F657" s="33">
        <f>IF($C657="","",IFERROR(INDEX(Setup!$D$4:$D$28,MATCH($C657,Setup!$C$4:$C$28,0)),"CHECK"))</f>
        <v/>
      </c>
      <c r="G657" s="51">
        <f>IF($A657="","",MONTH($A657))</f>
        <v/>
      </c>
    </row>
    <row r="658">
      <c r="A658" s="53" t="n"/>
      <c r="B658" s="43" t="n"/>
      <c r="C658" s="43" t="n"/>
      <c r="D658" s="54" t="n"/>
      <c r="E658" s="55" t="n"/>
      <c r="F658" s="34">
        <f>IF($C658="","",IFERROR(INDEX(Setup!$D$4:$D$28,MATCH($C658,Setup!$C$4:$C$28,0)),"CHECK"))</f>
        <v/>
      </c>
      <c r="G658" s="56">
        <f>IF($A658="","",MONTH($A658))</f>
        <v/>
      </c>
    </row>
    <row r="659">
      <c r="A659" s="48" t="n"/>
      <c r="B659" s="39" t="n"/>
      <c r="C659" s="39" t="n"/>
      <c r="D659" s="49" t="n"/>
      <c r="E659" s="50" t="n"/>
      <c r="F659" s="33">
        <f>IF($C659="","",IFERROR(INDEX(Setup!$D$4:$D$28,MATCH($C659,Setup!$C$4:$C$28,0)),"CHECK"))</f>
        <v/>
      </c>
      <c r="G659" s="51">
        <f>IF($A659="","",MONTH($A659))</f>
        <v/>
      </c>
    </row>
    <row r="660">
      <c r="A660" s="53" t="n"/>
      <c r="B660" s="43" t="n"/>
      <c r="C660" s="43" t="n"/>
      <c r="D660" s="54" t="n"/>
      <c r="E660" s="55" t="n"/>
      <c r="F660" s="34">
        <f>IF($C660="","",IFERROR(INDEX(Setup!$D$4:$D$28,MATCH($C660,Setup!$C$4:$C$28,0)),"CHECK"))</f>
        <v/>
      </c>
      <c r="G660" s="56">
        <f>IF($A660="","",MONTH($A660))</f>
        <v/>
      </c>
    </row>
    <row r="661">
      <c r="A661" s="48" t="n"/>
      <c r="B661" s="39" t="n"/>
      <c r="C661" s="39" t="n"/>
      <c r="D661" s="49" t="n"/>
      <c r="E661" s="50" t="n"/>
      <c r="F661" s="33">
        <f>IF($C661="","",IFERROR(INDEX(Setup!$D$4:$D$28,MATCH($C661,Setup!$C$4:$C$28,0)),"CHECK"))</f>
        <v/>
      </c>
      <c r="G661" s="51">
        <f>IF($A661="","",MONTH($A661))</f>
        <v/>
      </c>
    </row>
    <row r="662">
      <c r="A662" s="53" t="n"/>
      <c r="B662" s="43" t="n"/>
      <c r="C662" s="43" t="n"/>
      <c r="D662" s="54" t="n"/>
      <c r="E662" s="55" t="n"/>
      <c r="F662" s="34">
        <f>IF($C662="","",IFERROR(INDEX(Setup!$D$4:$D$28,MATCH($C662,Setup!$C$4:$C$28,0)),"CHECK"))</f>
        <v/>
      </c>
      <c r="G662" s="56">
        <f>IF($A662="","",MONTH($A662))</f>
        <v/>
      </c>
    </row>
    <row r="663">
      <c r="A663" s="48" t="n"/>
      <c r="B663" s="39" t="n"/>
      <c r="C663" s="39" t="n"/>
      <c r="D663" s="49" t="n"/>
      <c r="E663" s="50" t="n"/>
      <c r="F663" s="33">
        <f>IF($C663="","",IFERROR(INDEX(Setup!$D$4:$D$28,MATCH($C663,Setup!$C$4:$C$28,0)),"CHECK"))</f>
        <v/>
      </c>
      <c r="G663" s="51">
        <f>IF($A663="","",MONTH($A663))</f>
        <v/>
      </c>
    </row>
    <row r="664">
      <c r="A664" s="53" t="n"/>
      <c r="B664" s="43" t="n"/>
      <c r="C664" s="43" t="n"/>
      <c r="D664" s="54" t="n"/>
      <c r="E664" s="55" t="n"/>
      <c r="F664" s="34">
        <f>IF($C664="","",IFERROR(INDEX(Setup!$D$4:$D$28,MATCH($C664,Setup!$C$4:$C$28,0)),"CHECK"))</f>
        <v/>
      </c>
      <c r="G664" s="56">
        <f>IF($A664="","",MONTH($A664))</f>
        <v/>
      </c>
    </row>
    <row r="665">
      <c r="A665" s="48" t="n"/>
      <c r="B665" s="39" t="n"/>
      <c r="C665" s="39" t="n"/>
      <c r="D665" s="49" t="n"/>
      <c r="E665" s="50" t="n"/>
      <c r="F665" s="33">
        <f>IF($C665="","",IFERROR(INDEX(Setup!$D$4:$D$28,MATCH($C665,Setup!$C$4:$C$28,0)),"CHECK"))</f>
        <v/>
      </c>
      <c r="G665" s="51">
        <f>IF($A665="","",MONTH($A665))</f>
        <v/>
      </c>
    </row>
    <row r="666">
      <c r="A666" s="53" t="n"/>
      <c r="B666" s="43" t="n"/>
      <c r="C666" s="43" t="n"/>
      <c r="D666" s="54" t="n"/>
      <c r="E666" s="55" t="n"/>
      <c r="F666" s="34">
        <f>IF($C666="","",IFERROR(INDEX(Setup!$D$4:$D$28,MATCH($C666,Setup!$C$4:$C$28,0)),"CHECK"))</f>
        <v/>
      </c>
      <c r="G666" s="56">
        <f>IF($A666="","",MONTH($A666))</f>
        <v/>
      </c>
    </row>
    <row r="667">
      <c r="A667" s="48" t="n"/>
      <c r="B667" s="39" t="n"/>
      <c r="C667" s="39" t="n"/>
      <c r="D667" s="49" t="n"/>
      <c r="E667" s="50" t="n"/>
      <c r="F667" s="33">
        <f>IF($C667="","",IFERROR(INDEX(Setup!$D$4:$D$28,MATCH($C667,Setup!$C$4:$C$28,0)),"CHECK"))</f>
        <v/>
      </c>
      <c r="G667" s="51">
        <f>IF($A667="","",MONTH($A667))</f>
        <v/>
      </c>
    </row>
    <row r="668">
      <c r="A668" s="53" t="n"/>
      <c r="B668" s="43" t="n"/>
      <c r="C668" s="43" t="n"/>
      <c r="D668" s="54" t="n"/>
      <c r="E668" s="55" t="n"/>
      <c r="F668" s="34">
        <f>IF($C668="","",IFERROR(INDEX(Setup!$D$4:$D$28,MATCH($C668,Setup!$C$4:$C$28,0)),"CHECK"))</f>
        <v/>
      </c>
      <c r="G668" s="56">
        <f>IF($A668="","",MONTH($A668))</f>
        <v/>
      </c>
    </row>
    <row r="669">
      <c r="A669" s="48" t="n"/>
      <c r="B669" s="39" t="n"/>
      <c r="C669" s="39" t="n"/>
      <c r="D669" s="49" t="n"/>
      <c r="E669" s="50" t="n"/>
      <c r="F669" s="33">
        <f>IF($C669="","",IFERROR(INDEX(Setup!$D$4:$D$28,MATCH($C669,Setup!$C$4:$C$28,0)),"CHECK"))</f>
        <v/>
      </c>
      <c r="G669" s="51">
        <f>IF($A669="","",MONTH($A669))</f>
        <v/>
      </c>
    </row>
    <row r="670">
      <c r="A670" s="53" t="n"/>
      <c r="B670" s="43" t="n"/>
      <c r="C670" s="43" t="n"/>
      <c r="D670" s="54" t="n"/>
      <c r="E670" s="55" t="n"/>
      <c r="F670" s="34">
        <f>IF($C670="","",IFERROR(INDEX(Setup!$D$4:$D$28,MATCH($C670,Setup!$C$4:$C$28,0)),"CHECK"))</f>
        <v/>
      </c>
      <c r="G670" s="56">
        <f>IF($A670="","",MONTH($A670))</f>
        <v/>
      </c>
    </row>
    <row r="671">
      <c r="A671" s="48" t="n"/>
      <c r="B671" s="39" t="n"/>
      <c r="C671" s="39" t="n"/>
      <c r="D671" s="49" t="n"/>
      <c r="E671" s="50" t="n"/>
      <c r="F671" s="33">
        <f>IF($C671="","",IFERROR(INDEX(Setup!$D$4:$D$28,MATCH($C671,Setup!$C$4:$C$28,0)),"CHECK"))</f>
        <v/>
      </c>
      <c r="G671" s="51">
        <f>IF($A671="","",MONTH($A671))</f>
        <v/>
      </c>
    </row>
    <row r="672">
      <c r="A672" s="53" t="n"/>
      <c r="B672" s="43" t="n"/>
      <c r="C672" s="43" t="n"/>
      <c r="D672" s="54" t="n"/>
      <c r="E672" s="55" t="n"/>
      <c r="F672" s="34">
        <f>IF($C672="","",IFERROR(INDEX(Setup!$D$4:$D$28,MATCH($C672,Setup!$C$4:$C$28,0)),"CHECK"))</f>
        <v/>
      </c>
      <c r="G672" s="56">
        <f>IF($A672="","",MONTH($A672))</f>
        <v/>
      </c>
    </row>
    <row r="673">
      <c r="A673" s="48" t="n"/>
      <c r="B673" s="39" t="n"/>
      <c r="C673" s="39" t="n"/>
      <c r="D673" s="49" t="n"/>
      <c r="E673" s="50" t="n"/>
      <c r="F673" s="33">
        <f>IF($C673="","",IFERROR(INDEX(Setup!$D$4:$D$28,MATCH($C673,Setup!$C$4:$C$28,0)),"CHECK"))</f>
        <v/>
      </c>
      <c r="G673" s="51">
        <f>IF($A673="","",MONTH($A673))</f>
        <v/>
      </c>
    </row>
    <row r="674">
      <c r="A674" s="53" t="n"/>
      <c r="B674" s="43" t="n"/>
      <c r="C674" s="43" t="n"/>
      <c r="D674" s="54" t="n"/>
      <c r="E674" s="55" t="n"/>
      <c r="F674" s="34">
        <f>IF($C674="","",IFERROR(INDEX(Setup!$D$4:$D$28,MATCH($C674,Setup!$C$4:$C$28,0)),"CHECK"))</f>
        <v/>
      </c>
      <c r="G674" s="56">
        <f>IF($A674="","",MONTH($A674))</f>
        <v/>
      </c>
    </row>
    <row r="675">
      <c r="A675" s="48" t="n"/>
      <c r="B675" s="39" t="n"/>
      <c r="C675" s="39" t="n"/>
      <c r="D675" s="49" t="n"/>
      <c r="E675" s="50" t="n"/>
      <c r="F675" s="33">
        <f>IF($C675="","",IFERROR(INDEX(Setup!$D$4:$D$28,MATCH($C675,Setup!$C$4:$C$28,0)),"CHECK"))</f>
        <v/>
      </c>
      <c r="G675" s="51">
        <f>IF($A675="","",MONTH($A675))</f>
        <v/>
      </c>
    </row>
    <row r="676">
      <c r="A676" s="53" t="n"/>
      <c r="B676" s="43" t="n"/>
      <c r="C676" s="43" t="n"/>
      <c r="D676" s="54" t="n"/>
      <c r="E676" s="55" t="n"/>
      <c r="F676" s="34">
        <f>IF($C676="","",IFERROR(INDEX(Setup!$D$4:$D$28,MATCH($C676,Setup!$C$4:$C$28,0)),"CHECK"))</f>
        <v/>
      </c>
      <c r="G676" s="56">
        <f>IF($A676="","",MONTH($A676))</f>
        <v/>
      </c>
    </row>
    <row r="677">
      <c r="A677" s="48" t="n"/>
      <c r="B677" s="39" t="n"/>
      <c r="C677" s="39" t="n"/>
      <c r="D677" s="49" t="n"/>
      <c r="E677" s="50" t="n"/>
      <c r="F677" s="33">
        <f>IF($C677="","",IFERROR(INDEX(Setup!$D$4:$D$28,MATCH($C677,Setup!$C$4:$C$28,0)),"CHECK"))</f>
        <v/>
      </c>
      <c r="G677" s="51">
        <f>IF($A677="","",MONTH($A677))</f>
        <v/>
      </c>
    </row>
    <row r="678">
      <c r="A678" s="53" t="n"/>
      <c r="B678" s="43" t="n"/>
      <c r="C678" s="43" t="n"/>
      <c r="D678" s="54" t="n"/>
      <c r="E678" s="55" t="n"/>
      <c r="F678" s="34">
        <f>IF($C678="","",IFERROR(INDEX(Setup!$D$4:$D$28,MATCH($C678,Setup!$C$4:$C$28,0)),"CHECK"))</f>
        <v/>
      </c>
      <c r="G678" s="56">
        <f>IF($A678="","",MONTH($A678))</f>
        <v/>
      </c>
    </row>
    <row r="679">
      <c r="A679" s="48" t="n"/>
      <c r="B679" s="39" t="n"/>
      <c r="C679" s="39" t="n"/>
      <c r="D679" s="49" t="n"/>
      <c r="E679" s="50" t="n"/>
      <c r="F679" s="33">
        <f>IF($C679="","",IFERROR(INDEX(Setup!$D$4:$D$28,MATCH($C679,Setup!$C$4:$C$28,0)),"CHECK"))</f>
        <v/>
      </c>
      <c r="G679" s="51">
        <f>IF($A679="","",MONTH($A679))</f>
        <v/>
      </c>
    </row>
    <row r="680">
      <c r="A680" s="53" t="n"/>
      <c r="B680" s="43" t="n"/>
      <c r="C680" s="43" t="n"/>
      <c r="D680" s="54" t="n"/>
      <c r="E680" s="55" t="n"/>
      <c r="F680" s="34">
        <f>IF($C680="","",IFERROR(INDEX(Setup!$D$4:$D$28,MATCH($C680,Setup!$C$4:$C$28,0)),"CHECK"))</f>
        <v/>
      </c>
      <c r="G680" s="56">
        <f>IF($A680="","",MONTH($A680))</f>
        <v/>
      </c>
    </row>
    <row r="681">
      <c r="A681" s="48" t="n"/>
      <c r="B681" s="39" t="n"/>
      <c r="C681" s="39" t="n"/>
      <c r="D681" s="49" t="n"/>
      <c r="E681" s="50" t="n"/>
      <c r="F681" s="33">
        <f>IF($C681="","",IFERROR(INDEX(Setup!$D$4:$D$28,MATCH($C681,Setup!$C$4:$C$28,0)),"CHECK"))</f>
        <v/>
      </c>
      <c r="G681" s="51">
        <f>IF($A681="","",MONTH($A681))</f>
        <v/>
      </c>
    </row>
    <row r="682">
      <c r="A682" s="53" t="n"/>
      <c r="B682" s="43" t="n"/>
      <c r="C682" s="43" t="n"/>
      <c r="D682" s="54" t="n"/>
      <c r="E682" s="55" t="n"/>
      <c r="F682" s="34">
        <f>IF($C682="","",IFERROR(INDEX(Setup!$D$4:$D$28,MATCH($C682,Setup!$C$4:$C$28,0)),"CHECK"))</f>
        <v/>
      </c>
      <c r="G682" s="56">
        <f>IF($A682="","",MONTH($A682))</f>
        <v/>
      </c>
    </row>
    <row r="683">
      <c r="A683" s="48" t="n"/>
      <c r="B683" s="39" t="n"/>
      <c r="C683" s="39" t="n"/>
      <c r="D683" s="49" t="n"/>
      <c r="E683" s="50" t="n"/>
      <c r="F683" s="33">
        <f>IF($C683="","",IFERROR(INDEX(Setup!$D$4:$D$28,MATCH($C683,Setup!$C$4:$C$28,0)),"CHECK"))</f>
        <v/>
      </c>
      <c r="G683" s="51">
        <f>IF($A683="","",MONTH($A683))</f>
        <v/>
      </c>
    </row>
    <row r="684">
      <c r="A684" s="53" t="n"/>
      <c r="B684" s="43" t="n"/>
      <c r="C684" s="43" t="n"/>
      <c r="D684" s="54" t="n"/>
      <c r="E684" s="55" t="n"/>
      <c r="F684" s="34">
        <f>IF($C684="","",IFERROR(INDEX(Setup!$D$4:$D$28,MATCH($C684,Setup!$C$4:$C$28,0)),"CHECK"))</f>
        <v/>
      </c>
      <c r="G684" s="56">
        <f>IF($A684="","",MONTH($A684))</f>
        <v/>
      </c>
    </row>
    <row r="685">
      <c r="A685" s="48" t="n"/>
      <c r="B685" s="39" t="n"/>
      <c r="C685" s="39" t="n"/>
      <c r="D685" s="49" t="n"/>
      <c r="E685" s="50" t="n"/>
      <c r="F685" s="33">
        <f>IF($C685="","",IFERROR(INDEX(Setup!$D$4:$D$28,MATCH($C685,Setup!$C$4:$C$28,0)),"CHECK"))</f>
        <v/>
      </c>
      <c r="G685" s="51">
        <f>IF($A685="","",MONTH($A685))</f>
        <v/>
      </c>
    </row>
    <row r="686">
      <c r="A686" s="53" t="n"/>
      <c r="B686" s="43" t="n"/>
      <c r="C686" s="43" t="n"/>
      <c r="D686" s="54" t="n"/>
      <c r="E686" s="55" t="n"/>
      <c r="F686" s="34">
        <f>IF($C686="","",IFERROR(INDEX(Setup!$D$4:$D$28,MATCH($C686,Setup!$C$4:$C$28,0)),"CHECK"))</f>
        <v/>
      </c>
      <c r="G686" s="56">
        <f>IF($A686="","",MONTH($A686))</f>
        <v/>
      </c>
    </row>
    <row r="687">
      <c r="A687" s="48" t="n"/>
      <c r="B687" s="39" t="n"/>
      <c r="C687" s="39" t="n"/>
      <c r="D687" s="49" t="n"/>
      <c r="E687" s="50" t="n"/>
      <c r="F687" s="33">
        <f>IF($C687="","",IFERROR(INDEX(Setup!$D$4:$D$28,MATCH($C687,Setup!$C$4:$C$28,0)),"CHECK"))</f>
        <v/>
      </c>
      <c r="G687" s="51">
        <f>IF($A687="","",MONTH($A687))</f>
        <v/>
      </c>
    </row>
    <row r="688">
      <c r="A688" s="53" t="n"/>
      <c r="B688" s="43" t="n"/>
      <c r="C688" s="43" t="n"/>
      <c r="D688" s="54" t="n"/>
      <c r="E688" s="55" t="n"/>
      <c r="F688" s="34">
        <f>IF($C688="","",IFERROR(INDEX(Setup!$D$4:$D$28,MATCH($C688,Setup!$C$4:$C$28,0)),"CHECK"))</f>
        <v/>
      </c>
      <c r="G688" s="56">
        <f>IF($A688="","",MONTH($A688))</f>
        <v/>
      </c>
    </row>
    <row r="689">
      <c r="A689" s="48" t="n"/>
      <c r="B689" s="39" t="n"/>
      <c r="C689" s="39" t="n"/>
      <c r="D689" s="49" t="n"/>
      <c r="E689" s="50" t="n"/>
      <c r="F689" s="33">
        <f>IF($C689="","",IFERROR(INDEX(Setup!$D$4:$D$28,MATCH($C689,Setup!$C$4:$C$28,0)),"CHECK"))</f>
        <v/>
      </c>
      <c r="G689" s="51">
        <f>IF($A689="","",MONTH($A689))</f>
        <v/>
      </c>
    </row>
    <row r="690">
      <c r="A690" s="53" t="n"/>
      <c r="B690" s="43" t="n"/>
      <c r="C690" s="43" t="n"/>
      <c r="D690" s="54" t="n"/>
      <c r="E690" s="55" t="n"/>
      <c r="F690" s="34">
        <f>IF($C690="","",IFERROR(INDEX(Setup!$D$4:$D$28,MATCH($C690,Setup!$C$4:$C$28,0)),"CHECK"))</f>
        <v/>
      </c>
      <c r="G690" s="56">
        <f>IF($A690="","",MONTH($A690))</f>
        <v/>
      </c>
    </row>
    <row r="691">
      <c r="A691" s="48" t="n"/>
      <c r="B691" s="39" t="n"/>
      <c r="C691" s="39" t="n"/>
      <c r="D691" s="49" t="n"/>
      <c r="E691" s="50" t="n"/>
      <c r="F691" s="33">
        <f>IF($C691="","",IFERROR(INDEX(Setup!$D$4:$D$28,MATCH($C691,Setup!$C$4:$C$28,0)),"CHECK"))</f>
        <v/>
      </c>
      <c r="G691" s="51">
        <f>IF($A691="","",MONTH($A691))</f>
        <v/>
      </c>
    </row>
    <row r="692">
      <c r="A692" s="53" t="n"/>
      <c r="B692" s="43" t="n"/>
      <c r="C692" s="43" t="n"/>
      <c r="D692" s="54" t="n"/>
      <c r="E692" s="55" t="n"/>
      <c r="F692" s="34">
        <f>IF($C692="","",IFERROR(INDEX(Setup!$D$4:$D$28,MATCH($C692,Setup!$C$4:$C$28,0)),"CHECK"))</f>
        <v/>
      </c>
      <c r="G692" s="56">
        <f>IF($A692="","",MONTH($A692))</f>
        <v/>
      </c>
    </row>
    <row r="693">
      <c r="A693" s="48" t="n"/>
      <c r="B693" s="39" t="n"/>
      <c r="C693" s="39" t="n"/>
      <c r="D693" s="49" t="n"/>
      <c r="E693" s="50" t="n"/>
      <c r="F693" s="33">
        <f>IF($C693="","",IFERROR(INDEX(Setup!$D$4:$D$28,MATCH($C693,Setup!$C$4:$C$28,0)),"CHECK"))</f>
        <v/>
      </c>
      <c r="G693" s="51">
        <f>IF($A693="","",MONTH($A693))</f>
        <v/>
      </c>
    </row>
    <row r="694">
      <c r="A694" s="53" t="n"/>
      <c r="B694" s="43" t="n"/>
      <c r="C694" s="43" t="n"/>
      <c r="D694" s="54" t="n"/>
      <c r="E694" s="55" t="n"/>
      <c r="F694" s="34">
        <f>IF($C694="","",IFERROR(INDEX(Setup!$D$4:$D$28,MATCH($C694,Setup!$C$4:$C$28,0)),"CHECK"))</f>
        <v/>
      </c>
      <c r="G694" s="56">
        <f>IF($A694="","",MONTH($A694))</f>
        <v/>
      </c>
    </row>
    <row r="695">
      <c r="A695" s="48" t="n"/>
      <c r="B695" s="39" t="n"/>
      <c r="C695" s="39" t="n"/>
      <c r="D695" s="49" t="n"/>
      <c r="E695" s="50" t="n"/>
      <c r="F695" s="33">
        <f>IF($C695="","",IFERROR(INDEX(Setup!$D$4:$D$28,MATCH($C695,Setup!$C$4:$C$28,0)),"CHECK"))</f>
        <v/>
      </c>
      <c r="G695" s="51">
        <f>IF($A695="","",MONTH($A695))</f>
        <v/>
      </c>
    </row>
    <row r="696">
      <c r="A696" s="53" t="n"/>
      <c r="B696" s="43" t="n"/>
      <c r="C696" s="43" t="n"/>
      <c r="D696" s="54" t="n"/>
      <c r="E696" s="55" t="n"/>
      <c r="F696" s="34">
        <f>IF($C696="","",IFERROR(INDEX(Setup!$D$4:$D$28,MATCH($C696,Setup!$C$4:$C$28,0)),"CHECK"))</f>
        <v/>
      </c>
      <c r="G696" s="56">
        <f>IF($A696="","",MONTH($A696))</f>
        <v/>
      </c>
    </row>
    <row r="697">
      <c r="A697" s="48" t="n"/>
      <c r="B697" s="39" t="n"/>
      <c r="C697" s="39" t="n"/>
      <c r="D697" s="49" t="n"/>
      <c r="E697" s="50" t="n"/>
      <c r="F697" s="33">
        <f>IF($C697="","",IFERROR(INDEX(Setup!$D$4:$D$28,MATCH($C697,Setup!$C$4:$C$28,0)),"CHECK"))</f>
        <v/>
      </c>
      <c r="G697" s="51">
        <f>IF($A697="","",MONTH($A697))</f>
        <v/>
      </c>
    </row>
    <row r="698">
      <c r="A698" s="53" t="n"/>
      <c r="B698" s="43" t="n"/>
      <c r="C698" s="43" t="n"/>
      <c r="D698" s="54" t="n"/>
      <c r="E698" s="55" t="n"/>
      <c r="F698" s="34">
        <f>IF($C698="","",IFERROR(INDEX(Setup!$D$4:$D$28,MATCH($C698,Setup!$C$4:$C$28,0)),"CHECK"))</f>
        <v/>
      </c>
      <c r="G698" s="56">
        <f>IF($A698="","",MONTH($A698))</f>
        <v/>
      </c>
    </row>
    <row r="699">
      <c r="A699" s="48" t="n"/>
      <c r="B699" s="39" t="n"/>
      <c r="C699" s="39" t="n"/>
      <c r="D699" s="49" t="n"/>
      <c r="E699" s="50" t="n"/>
      <c r="F699" s="33">
        <f>IF($C699="","",IFERROR(INDEX(Setup!$D$4:$D$28,MATCH($C699,Setup!$C$4:$C$28,0)),"CHECK"))</f>
        <v/>
      </c>
      <c r="G699" s="51">
        <f>IF($A699="","",MONTH($A699))</f>
        <v/>
      </c>
    </row>
    <row r="700">
      <c r="A700" s="53" t="n"/>
      <c r="B700" s="43" t="n"/>
      <c r="C700" s="43" t="n"/>
      <c r="D700" s="54" t="n"/>
      <c r="E700" s="55" t="n"/>
      <c r="F700" s="34">
        <f>IF($C700="","",IFERROR(INDEX(Setup!$D$4:$D$28,MATCH($C700,Setup!$C$4:$C$28,0)),"CHECK"))</f>
        <v/>
      </c>
      <c r="G700" s="56">
        <f>IF($A700="","",MONTH($A700))</f>
        <v/>
      </c>
    </row>
    <row r="701">
      <c r="A701" s="48" t="n"/>
      <c r="B701" s="39" t="n"/>
      <c r="C701" s="39" t="n"/>
      <c r="D701" s="49" t="n"/>
      <c r="E701" s="50" t="n"/>
      <c r="F701" s="33">
        <f>IF($C701="","",IFERROR(INDEX(Setup!$D$4:$D$28,MATCH($C701,Setup!$C$4:$C$28,0)),"CHECK"))</f>
        <v/>
      </c>
      <c r="G701" s="51">
        <f>IF($A701="","",MONTH($A701))</f>
        <v/>
      </c>
    </row>
    <row r="702">
      <c r="A702" s="53" t="n"/>
      <c r="B702" s="43" t="n"/>
      <c r="C702" s="43" t="n"/>
      <c r="D702" s="54" t="n"/>
      <c r="E702" s="55" t="n"/>
      <c r="F702" s="34">
        <f>IF($C702="","",IFERROR(INDEX(Setup!$D$4:$D$28,MATCH($C702,Setup!$C$4:$C$28,0)),"CHECK"))</f>
        <v/>
      </c>
      <c r="G702" s="56">
        <f>IF($A702="","",MONTH($A702))</f>
        <v/>
      </c>
    </row>
    <row r="703">
      <c r="A703" s="48" t="n"/>
      <c r="B703" s="39" t="n"/>
      <c r="C703" s="39" t="n"/>
      <c r="D703" s="49" t="n"/>
      <c r="E703" s="50" t="n"/>
      <c r="F703" s="33">
        <f>IF($C703="","",IFERROR(INDEX(Setup!$D$4:$D$28,MATCH($C703,Setup!$C$4:$C$28,0)),"CHECK"))</f>
        <v/>
      </c>
      <c r="G703" s="51">
        <f>IF($A703="","",MONTH($A703))</f>
        <v/>
      </c>
    </row>
    <row r="704">
      <c r="A704" s="53" t="n"/>
      <c r="B704" s="43" t="n"/>
      <c r="C704" s="43" t="n"/>
      <c r="D704" s="54" t="n"/>
      <c r="E704" s="55" t="n"/>
      <c r="F704" s="34">
        <f>IF($C704="","",IFERROR(INDEX(Setup!$D$4:$D$28,MATCH($C704,Setup!$C$4:$C$28,0)),"CHECK"))</f>
        <v/>
      </c>
      <c r="G704" s="56">
        <f>IF($A704="","",MONTH($A704))</f>
        <v/>
      </c>
    </row>
    <row r="705">
      <c r="A705" s="48" t="n"/>
      <c r="B705" s="39" t="n"/>
      <c r="C705" s="39" t="n"/>
      <c r="D705" s="49" t="n"/>
      <c r="E705" s="50" t="n"/>
      <c r="F705" s="33">
        <f>IF($C705="","",IFERROR(INDEX(Setup!$D$4:$D$28,MATCH($C705,Setup!$C$4:$C$28,0)),"CHECK"))</f>
        <v/>
      </c>
      <c r="G705" s="51">
        <f>IF($A705="","",MONTH($A705))</f>
        <v/>
      </c>
    </row>
    <row r="706">
      <c r="A706" s="53" t="n"/>
      <c r="B706" s="43" t="n"/>
      <c r="C706" s="43" t="n"/>
      <c r="D706" s="54" t="n"/>
      <c r="E706" s="55" t="n"/>
      <c r="F706" s="34">
        <f>IF($C706="","",IFERROR(INDEX(Setup!$D$4:$D$28,MATCH($C706,Setup!$C$4:$C$28,0)),"CHECK"))</f>
        <v/>
      </c>
      <c r="G706" s="56">
        <f>IF($A706="","",MONTH($A706))</f>
        <v/>
      </c>
    </row>
    <row r="707">
      <c r="A707" s="48" t="n"/>
      <c r="B707" s="39" t="n"/>
      <c r="C707" s="39" t="n"/>
      <c r="D707" s="49" t="n"/>
      <c r="E707" s="50" t="n"/>
      <c r="F707" s="33">
        <f>IF($C707="","",IFERROR(INDEX(Setup!$D$4:$D$28,MATCH($C707,Setup!$C$4:$C$28,0)),"CHECK"))</f>
        <v/>
      </c>
      <c r="G707" s="51">
        <f>IF($A707="","",MONTH($A707))</f>
        <v/>
      </c>
    </row>
    <row r="708">
      <c r="A708" s="53" t="n"/>
      <c r="B708" s="43" t="n"/>
      <c r="C708" s="43" t="n"/>
      <c r="D708" s="54" t="n"/>
      <c r="E708" s="55" t="n"/>
      <c r="F708" s="34">
        <f>IF($C708="","",IFERROR(INDEX(Setup!$D$4:$D$28,MATCH($C708,Setup!$C$4:$C$28,0)),"CHECK"))</f>
        <v/>
      </c>
      <c r="G708" s="56">
        <f>IF($A708="","",MONTH($A708))</f>
        <v/>
      </c>
    </row>
    <row r="709">
      <c r="A709" s="48" t="n"/>
      <c r="B709" s="39" t="n"/>
      <c r="C709" s="39" t="n"/>
      <c r="D709" s="49" t="n"/>
      <c r="E709" s="50" t="n"/>
      <c r="F709" s="33">
        <f>IF($C709="","",IFERROR(INDEX(Setup!$D$4:$D$28,MATCH($C709,Setup!$C$4:$C$28,0)),"CHECK"))</f>
        <v/>
      </c>
      <c r="G709" s="51">
        <f>IF($A709="","",MONTH($A709))</f>
        <v/>
      </c>
    </row>
    <row r="710">
      <c r="A710" s="53" t="n"/>
      <c r="B710" s="43" t="n"/>
      <c r="C710" s="43" t="n"/>
      <c r="D710" s="54" t="n"/>
      <c r="E710" s="55" t="n"/>
      <c r="F710" s="34">
        <f>IF($C710="","",IFERROR(INDEX(Setup!$D$4:$D$28,MATCH($C710,Setup!$C$4:$C$28,0)),"CHECK"))</f>
        <v/>
      </c>
      <c r="G710" s="56">
        <f>IF($A710="","",MONTH($A710))</f>
        <v/>
      </c>
    </row>
    <row r="711">
      <c r="A711" s="48" t="n"/>
      <c r="B711" s="39" t="n"/>
      <c r="C711" s="39" t="n"/>
      <c r="D711" s="49" t="n"/>
      <c r="E711" s="50" t="n"/>
      <c r="F711" s="33">
        <f>IF($C711="","",IFERROR(INDEX(Setup!$D$4:$D$28,MATCH($C711,Setup!$C$4:$C$28,0)),"CHECK"))</f>
        <v/>
      </c>
      <c r="G711" s="51">
        <f>IF($A711="","",MONTH($A711))</f>
        <v/>
      </c>
    </row>
    <row r="712">
      <c r="A712" s="53" t="n"/>
      <c r="B712" s="43" t="n"/>
      <c r="C712" s="43" t="n"/>
      <c r="D712" s="54" t="n"/>
      <c r="E712" s="55" t="n"/>
      <c r="F712" s="34">
        <f>IF($C712="","",IFERROR(INDEX(Setup!$D$4:$D$28,MATCH($C712,Setup!$C$4:$C$28,0)),"CHECK"))</f>
        <v/>
      </c>
      <c r="G712" s="56">
        <f>IF($A712="","",MONTH($A712))</f>
        <v/>
      </c>
    </row>
    <row r="713">
      <c r="A713" s="48" t="n"/>
      <c r="B713" s="39" t="n"/>
      <c r="C713" s="39" t="n"/>
      <c r="D713" s="49" t="n"/>
      <c r="E713" s="50" t="n"/>
      <c r="F713" s="33">
        <f>IF($C713="","",IFERROR(INDEX(Setup!$D$4:$D$28,MATCH($C713,Setup!$C$4:$C$28,0)),"CHECK"))</f>
        <v/>
      </c>
      <c r="G713" s="51">
        <f>IF($A713="","",MONTH($A713))</f>
        <v/>
      </c>
    </row>
    <row r="714">
      <c r="A714" s="53" t="n"/>
      <c r="B714" s="43" t="n"/>
      <c r="C714" s="43" t="n"/>
      <c r="D714" s="54" t="n"/>
      <c r="E714" s="55" t="n"/>
      <c r="F714" s="34">
        <f>IF($C714="","",IFERROR(INDEX(Setup!$D$4:$D$28,MATCH($C714,Setup!$C$4:$C$28,0)),"CHECK"))</f>
        <v/>
      </c>
      <c r="G714" s="56">
        <f>IF($A714="","",MONTH($A714))</f>
        <v/>
      </c>
    </row>
    <row r="715">
      <c r="A715" s="48" t="n"/>
      <c r="B715" s="39" t="n"/>
      <c r="C715" s="39" t="n"/>
      <c r="D715" s="49" t="n"/>
      <c r="E715" s="50" t="n"/>
      <c r="F715" s="33">
        <f>IF($C715="","",IFERROR(INDEX(Setup!$D$4:$D$28,MATCH($C715,Setup!$C$4:$C$28,0)),"CHECK"))</f>
        <v/>
      </c>
      <c r="G715" s="51">
        <f>IF($A715="","",MONTH($A715))</f>
        <v/>
      </c>
    </row>
    <row r="716">
      <c r="A716" s="53" t="n"/>
      <c r="B716" s="43" t="n"/>
      <c r="C716" s="43" t="n"/>
      <c r="D716" s="54" t="n"/>
      <c r="E716" s="55" t="n"/>
      <c r="F716" s="34">
        <f>IF($C716="","",IFERROR(INDEX(Setup!$D$4:$D$28,MATCH($C716,Setup!$C$4:$C$28,0)),"CHECK"))</f>
        <v/>
      </c>
      <c r="G716" s="56">
        <f>IF($A716="","",MONTH($A716))</f>
        <v/>
      </c>
    </row>
    <row r="717">
      <c r="A717" s="48" t="n"/>
      <c r="B717" s="39" t="n"/>
      <c r="C717" s="39" t="n"/>
      <c r="D717" s="49" t="n"/>
      <c r="E717" s="50" t="n"/>
      <c r="F717" s="33">
        <f>IF($C717="","",IFERROR(INDEX(Setup!$D$4:$D$28,MATCH($C717,Setup!$C$4:$C$28,0)),"CHECK"))</f>
        <v/>
      </c>
      <c r="G717" s="51">
        <f>IF($A717="","",MONTH($A717))</f>
        <v/>
      </c>
    </row>
    <row r="718">
      <c r="A718" s="53" t="n"/>
      <c r="B718" s="43" t="n"/>
      <c r="C718" s="43" t="n"/>
      <c r="D718" s="54" t="n"/>
      <c r="E718" s="55" t="n"/>
      <c r="F718" s="34">
        <f>IF($C718="","",IFERROR(INDEX(Setup!$D$4:$D$28,MATCH($C718,Setup!$C$4:$C$28,0)),"CHECK"))</f>
        <v/>
      </c>
      <c r="G718" s="56">
        <f>IF($A718="","",MONTH($A718))</f>
        <v/>
      </c>
    </row>
    <row r="719">
      <c r="A719" s="48" t="n"/>
      <c r="B719" s="39" t="n"/>
      <c r="C719" s="39" t="n"/>
      <c r="D719" s="49" t="n"/>
      <c r="E719" s="50" t="n"/>
      <c r="F719" s="33">
        <f>IF($C719="","",IFERROR(INDEX(Setup!$D$4:$D$28,MATCH($C719,Setup!$C$4:$C$28,0)),"CHECK"))</f>
        <v/>
      </c>
      <c r="G719" s="51">
        <f>IF($A719="","",MONTH($A719))</f>
        <v/>
      </c>
    </row>
    <row r="720">
      <c r="A720" s="53" t="n"/>
      <c r="B720" s="43" t="n"/>
      <c r="C720" s="43" t="n"/>
      <c r="D720" s="54" t="n"/>
      <c r="E720" s="55" t="n"/>
      <c r="F720" s="34">
        <f>IF($C720="","",IFERROR(INDEX(Setup!$D$4:$D$28,MATCH($C720,Setup!$C$4:$C$28,0)),"CHECK"))</f>
        <v/>
      </c>
      <c r="G720" s="56">
        <f>IF($A720="","",MONTH($A720))</f>
        <v/>
      </c>
    </row>
    <row r="721">
      <c r="A721" s="48" t="n"/>
      <c r="B721" s="39" t="n"/>
      <c r="C721" s="39" t="n"/>
      <c r="D721" s="49" t="n"/>
      <c r="E721" s="50" t="n"/>
      <c r="F721" s="33">
        <f>IF($C721="","",IFERROR(INDEX(Setup!$D$4:$D$28,MATCH($C721,Setup!$C$4:$C$28,0)),"CHECK"))</f>
        <v/>
      </c>
      <c r="G721" s="51">
        <f>IF($A721="","",MONTH($A721))</f>
        <v/>
      </c>
    </row>
    <row r="722">
      <c r="A722" s="53" t="n"/>
      <c r="B722" s="43" t="n"/>
      <c r="C722" s="43" t="n"/>
      <c r="D722" s="54" t="n"/>
      <c r="E722" s="55" t="n"/>
      <c r="F722" s="34">
        <f>IF($C722="","",IFERROR(INDEX(Setup!$D$4:$D$28,MATCH($C722,Setup!$C$4:$C$28,0)),"CHECK"))</f>
        <v/>
      </c>
      <c r="G722" s="56">
        <f>IF($A722="","",MONTH($A722))</f>
        <v/>
      </c>
    </row>
    <row r="723">
      <c r="A723" s="48" t="n"/>
      <c r="B723" s="39" t="n"/>
      <c r="C723" s="39" t="n"/>
      <c r="D723" s="49" t="n"/>
      <c r="E723" s="50" t="n"/>
      <c r="F723" s="33">
        <f>IF($C723="","",IFERROR(INDEX(Setup!$D$4:$D$28,MATCH($C723,Setup!$C$4:$C$28,0)),"CHECK"))</f>
        <v/>
      </c>
      <c r="G723" s="51">
        <f>IF($A723="","",MONTH($A723))</f>
        <v/>
      </c>
    </row>
    <row r="724">
      <c r="A724" s="53" t="n"/>
      <c r="B724" s="43" t="n"/>
      <c r="C724" s="43" t="n"/>
      <c r="D724" s="54" t="n"/>
      <c r="E724" s="55" t="n"/>
      <c r="F724" s="34">
        <f>IF($C724="","",IFERROR(INDEX(Setup!$D$4:$D$28,MATCH($C724,Setup!$C$4:$C$28,0)),"CHECK"))</f>
        <v/>
      </c>
      <c r="G724" s="56">
        <f>IF($A724="","",MONTH($A724))</f>
        <v/>
      </c>
    </row>
    <row r="725">
      <c r="A725" s="48" t="n"/>
      <c r="B725" s="39" t="n"/>
      <c r="C725" s="39" t="n"/>
      <c r="D725" s="49" t="n"/>
      <c r="E725" s="50" t="n"/>
      <c r="F725" s="33">
        <f>IF($C725="","",IFERROR(INDEX(Setup!$D$4:$D$28,MATCH($C725,Setup!$C$4:$C$28,0)),"CHECK"))</f>
        <v/>
      </c>
      <c r="G725" s="51">
        <f>IF($A725="","",MONTH($A725))</f>
        <v/>
      </c>
    </row>
    <row r="726">
      <c r="A726" s="53" t="n"/>
      <c r="B726" s="43" t="n"/>
      <c r="C726" s="43" t="n"/>
      <c r="D726" s="54" t="n"/>
      <c r="E726" s="55" t="n"/>
      <c r="F726" s="34">
        <f>IF($C726="","",IFERROR(INDEX(Setup!$D$4:$D$28,MATCH($C726,Setup!$C$4:$C$28,0)),"CHECK"))</f>
        <v/>
      </c>
      <c r="G726" s="56">
        <f>IF($A726="","",MONTH($A726))</f>
        <v/>
      </c>
    </row>
    <row r="727">
      <c r="A727" s="48" t="n"/>
      <c r="B727" s="39" t="n"/>
      <c r="C727" s="39" t="n"/>
      <c r="D727" s="49" t="n"/>
      <c r="E727" s="50" t="n"/>
      <c r="F727" s="33">
        <f>IF($C727="","",IFERROR(INDEX(Setup!$D$4:$D$28,MATCH($C727,Setup!$C$4:$C$28,0)),"CHECK"))</f>
        <v/>
      </c>
      <c r="G727" s="51">
        <f>IF($A727="","",MONTH($A727))</f>
        <v/>
      </c>
    </row>
    <row r="728">
      <c r="A728" s="53" t="n"/>
      <c r="B728" s="43" t="n"/>
      <c r="C728" s="43" t="n"/>
      <c r="D728" s="54" t="n"/>
      <c r="E728" s="55" t="n"/>
      <c r="F728" s="34">
        <f>IF($C728="","",IFERROR(INDEX(Setup!$D$4:$D$28,MATCH($C728,Setup!$C$4:$C$28,0)),"CHECK"))</f>
        <v/>
      </c>
      <c r="G728" s="56">
        <f>IF($A728="","",MONTH($A728))</f>
        <v/>
      </c>
    </row>
    <row r="729">
      <c r="A729" s="48" t="n"/>
      <c r="B729" s="39" t="n"/>
      <c r="C729" s="39" t="n"/>
      <c r="D729" s="49" t="n"/>
      <c r="E729" s="50" t="n"/>
      <c r="F729" s="33">
        <f>IF($C729="","",IFERROR(INDEX(Setup!$D$4:$D$28,MATCH($C729,Setup!$C$4:$C$28,0)),"CHECK"))</f>
        <v/>
      </c>
      <c r="G729" s="51">
        <f>IF($A729="","",MONTH($A729))</f>
        <v/>
      </c>
    </row>
    <row r="730">
      <c r="A730" s="53" t="n"/>
      <c r="B730" s="43" t="n"/>
      <c r="C730" s="43" t="n"/>
      <c r="D730" s="54" t="n"/>
      <c r="E730" s="55" t="n"/>
      <c r="F730" s="34">
        <f>IF($C730="","",IFERROR(INDEX(Setup!$D$4:$D$28,MATCH($C730,Setup!$C$4:$C$28,0)),"CHECK"))</f>
        <v/>
      </c>
      <c r="G730" s="56">
        <f>IF($A730="","",MONTH($A730))</f>
        <v/>
      </c>
    </row>
    <row r="731">
      <c r="A731" s="48" t="n"/>
      <c r="B731" s="39" t="n"/>
      <c r="C731" s="39" t="n"/>
      <c r="D731" s="49" t="n"/>
      <c r="E731" s="50" t="n"/>
      <c r="F731" s="33">
        <f>IF($C731="","",IFERROR(INDEX(Setup!$D$4:$D$28,MATCH($C731,Setup!$C$4:$C$28,0)),"CHECK"))</f>
        <v/>
      </c>
      <c r="G731" s="51">
        <f>IF($A731="","",MONTH($A731))</f>
        <v/>
      </c>
    </row>
    <row r="732">
      <c r="A732" s="53" t="n"/>
      <c r="B732" s="43" t="n"/>
      <c r="C732" s="43" t="n"/>
      <c r="D732" s="54" t="n"/>
      <c r="E732" s="55" t="n"/>
      <c r="F732" s="34">
        <f>IF($C732="","",IFERROR(INDEX(Setup!$D$4:$D$28,MATCH($C732,Setup!$C$4:$C$28,0)),"CHECK"))</f>
        <v/>
      </c>
      <c r="G732" s="56">
        <f>IF($A732="","",MONTH($A732))</f>
        <v/>
      </c>
    </row>
    <row r="733">
      <c r="A733" s="48" t="n"/>
      <c r="B733" s="39" t="n"/>
      <c r="C733" s="39" t="n"/>
      <c r="D733" s="49" t="n"/>
      <c r="E733" s="50" t="n"/>
      <c r="F733" s="33">
        <f>IF($C733="","",IFERROR(INDEX(Setup!$D$4:$D$28,MATCH($C733,Setup!$C$4:$C$28,0)),"CHECK"))</f>
        <v/>
      </c>
      <c r="G733" s="51">
        <f>IF($A733="","",MONTH($A733))</f>
        <v/>
      </c>
    </row>
    <row r="734">
      <c r="A734" s="53" t="n"/>
      <c r="B734" s="43" t="n"/>
      <c r="C734" s="43" t="n"/>
      <c r="D734" s="54" t="n"/>
      <c r="E734" s="55" t="n"/>
      <c r="F734" s="34">
        <f>IF($C734="","",IFERROR(INDEX(Setup!$D$4:$D$28,MATCH($C734,Setup!$C$4:$C$28,0)),"CHECK"))</f>
        <v/>
      </c>
      <c r="G734" s="56">
        <f>IF($A734="","",MONTH($A734))</f>
        <v/>
      </c>
    </row>
    <row r="735">
      <c r="A735" s="48" t="n"/>
      <c r="B735" s="39" t="n"/>
      <c r="C735" s="39" t="n"/>
      <c r="D735" s="49" t="n"/>
      <c r="E735" s="50" t="n"/>
      <c r="F735" s="33">
        <f>IF($C735="","",IFERROR(INDEX(Setup!$D$4:$D$28,MATCH($C735,Setup!$C$4:$C$28,0)),"CHECK"))</f>
        <v/>
      </c>
      <c r="G735" s="51">
        <f>IF($A735="","",MONTH($A735))</f>
        <v/>
      </c>
    </row>
    <row r="736">
      <c r="A736" s="53" t="n"/>
      <c r="B736" s="43" t="n"/>
      <c r="C736" s="43" t="n"/>
      <c r="D736" s="54" t="n"/>
      <c r="E736" s="55" t="n"/>
      <c r="F736" s="34">
        <f>IF($C736="","",IFERROR(INDEX(Setup!$D$4:$D$28,MATCH($C736,Setup!$C$4:$C$28,0)),"CHECK"))</f>
        <v/>
      </c>
      <c r="G736" s="56">
        <f>IF($A736="","",MONTH($A736))</f>
        <v/>
      </c>
    </row>
    <row r="737">
      <c r="A737" s="48" t="n"/>
      <c r="B737" s="39" t="n"/>
      <c r="C737" s="39" t="n"/>
      <c r="D737" s="49" t="n"/>
      <c r="E737" s="50" t="n"/>
      <c r="F737" s="33">
        <f>IF($C737="","",IFERROR(INDEX(Setup!$D$4:$D$28,MATCH($C737,Setup!$C$4:$C$28,0)),"CHECK"))</f>
        <v/>
      </c>
      <c r="G737" s="51">
        <f>IF($A737="","",MONTH($A737))</f>
        <v/>
      </c>
    </row>
    <row r="738">
      <c r="A738" s="53" t="n"/>
      <c r="B738" s="43" t="n"/>
      <c r="C738" s="43" t="n"/>
      <c r="D738" s="54" t="n"/>
      <c r="E738" s="55" t="n"/>
      <c r="F738" s="34">
        <f>IF($C738="","",IFERROR(INDEX(Setup!$D$4:$D$28,MATCH($C738,Setup!$C$4:$C$28,0)),"CHECK"))</f>
        <v/>
      </c>
      <c r="G738" s="56">
        <f>IF($A738="","",MONTH($A738))</f>
        <v/>
      </c>
    </row>
    <row r="739">
      <c r="A739" s="48" t="n"/>
      <c r="B739" s="39" t="n"/>
      <c r="C739" s="39" t="n"/>
      <c r="D739" s="49" t="n"/>
      <c r="E739" s="50" t="n"/>
      <c r="F739" s="33">
        <f>IF($C739="","",IFERROR(INDEX(Setup!$D$4:$D$28,MATCH($C739,Setup!$C$4:$C$28,0)),"CHECK"))</f>
        <v/>
      </c>
      <c r="G739" s="51">
        <f>IF($A739="","",MONTH($A739))</f>
        <v/>
      </c>
    </row>
    <row r="740">
      <c r="A740" s="53" t="n"/>
      <c r="B740" s="43" t="n"/>
      <c r="C740" s="43" t="n"/>
      <c r="D740" s="54" t="n"/>
      <c r="E740" s="55" t="n"/>
      <c r="F740" s="34">
        <f>IF($C740="","",IFERROR(INDEX(Setup!$D$4:$D$28,MATCH($C740,Setup!$C$4:$C$28,0)),"CHECK"))</f>
        <v/>
      </c>
      <c r="G740" s="56">
        <f>IF($A740="","",MONTH($A740))</f>
        <v/>
      </c>
    </row>
    <row r="741">
      <c r="A741" s="48" t="n"/>
      <c r="B741" s="39" t="n"/>
      <c r="C741" s="39" t="n"/>
      <c r="D741" s="49" t="n"/>
      <c r="E741" s="50" t="n"/>
      <c r="F741" s="33">
        <f>IF($C741="","",IFERROR(INDEX(Setup!$D$4:$D$28,MATCH($C741,Setup!$C$4:$C$28,0)),"CHECK"))</f>
        <v/>
      </c>
      <c r="G741" s="51">
        <f>IF($A741="","",MONTH($A741))</f>
        <v/>
      </c>
    </row>
    <row r="742">
      <c r="A742" s="53" t="n"/>
      <c r="B742" s="43" t="n"/>
      <c r="C742" s="43" t="n"/>
      <c r="D742" s="54" t="n"/>
      <c r="E742" s="55" t="n"/>
      <c r="F742" s="34">
        <f>IF($C742="","",IFERROR(INDEX(Setup!$D$4:$D$28,MATCH($C742,Setup!$C$4:$C$28,0)),"CHECK"))</f>
        <v/>
      </c>
      <c r="G742" s="56">
        <f>IF($A742="","",MONTH($A742))</f>
        <v/>
      </c>
    </row>
    <row r="743">
      <c r="A743" s="48" t="n"/>
      <c r="B743" s="39" t="n"/>
      <c r="C743" s="39" t="n"/>
      <c r="D743" s="49" t="n"/>
      <c r="E743" s="50" t="n"/>
      <c r="F743" s="33">
        <f>IF($C743="","",IFERROR(INDEX(Setup!$D$4:$D$28,MATCH($C743,Setup!$C$4:$C$28,0)),"CHECK"))</f>
        <v/>
      </c>
      <c r="G743" s="51">
        <f>IF($A743="","",MONTH($A743))</f>
        <v/>
      </c>
    </row>
    <row r="744">
      <c r="A744" s="53" t="n"/>
      <c r="B744" s="43" t="n"/>
      <c r="C744" s="43" t="n"/>
      <c r="D744" s="54" t="n"/>
      <c r="E744" s="55" t="n"/>
      <c r="F744" s="34">
        <f>IF($C744="","",IFERROR(INDEX(Setup!$D$4:$D$28,MATCH($C744,Setup!$C$4:$C$28,0)),"CHECK"))</f>
        <v/>
      </c>
      <c r="G744" s="56">
        <f>IF($A744="","",MONTH($A744))</f>
        <v/>
      </c>
    </row>
    <row r="745">
      <c r="A745" s="48" t="n"/>
      <c r="B745" s="39" t="n"/>
      <c r="C745" s="39" t="n"/>
      <c r="D745" s="49" t="n"/>
      <c r="E745" s="50" t="n"/>
      <c r="F745" s="33">
        <f>IF($C745="","",IFERROR(INDEX(Setup!$D$4:$D$28,MATCH($C745,Setup!$C$4:$C$28,0)),"CHECK"))</f>
        <v/>
      </c>
      <c r="G745" s="51">
        <f>IF($A745="","",MONTH($A745))</f>
        <v/>
      </c>
    </row>
    <row r="746">
      <c r="A746" s="53" t="n"/>
      <c r="B746" s="43" t="n"/>
      <c r="C746" s="43" t="n"/>
      <c r="D746" s="54" t="n"/>
      <c r="E746" s="55" t="n"/>
      <c r="F746" s="34">
        <f>IF($C746="","",IFERROR(INDEX(Setup!$D$4:$D$28,MATCH($C746,Setup!$C$4:$C$28,0)),"CHECK"))</f>
        <v/>
      </c>
      <c r="G746" s="56">
        <f>IF($A746="","",MONTH($A746))</f>
        <v/>
      </c>
    </row>
    <row r="747">
      <c r="A747" s="48" t="n"/>
      <c r="B747" s="39" t="n"/>
      <c r="C747" s="39" t="n"/>
      <c r="D747" s="49" t="n"/>
      <c r="E747" s="50" t="n"/>
      <c r="F747" s="33">
        <f>IF($C747="","",IFERROR(INDEX(Setup!$D$4:$D$28,MATCH($C747,Setup!$C$4:$C$28,0)),"CHECK"))</f>
        <v/>
      </c>
      <c r="G747" s="51">
        <f>IF($A747="","",MONTH($A747))</f>
        <v/>
      </c>
    </row>
    <row r="748">
      <c r="A748" s="53" t="n"/>
      <c r="B748" s="43" t="n"/>
      <c r="C748" s="43" t="n"/>
      <c r="D748" s="54" t="n"/>
      <c r="E748" s="55" t="n"/>
      <c r="F748" s="34">
        <f>IF($C748="","",IFERROR(INDEX(Setup!$D$4:$D$28,MATCH($C748,Setup!$C$4:$C$28,0)),"CHECK"))</f>
        <v/>
      </c>
      <c r="G748" s="56">
        <f>IF($A748="","",MONTH($A748))</f>
        <v/>
      </c>
    </row>
    <row r="749">
      <c r="A749" s="48" t="n"/>
      <c r="B749" s="39" t="n"/>
      <c r="C749" s="39" t="n"/>
      <c r="D749" s="49" t="n"/>
      <c r="E749" s="50" t="n"/>
      <c r="F749" s="33">
        <f>IF($C749="","",IFERROR(INDEX(Setup!$D$4:$D$28,MATCH($C749,Setup!$C$4:$C$28,0)),"CHECK"))</f>
        <v/>
      </c>
      <c r="G749" s="51">
        <f>IF($A749="","",MONTH($A749))</f>
        <v/>
      </c>
    </row>
    <row r="750">
      <c r="A750" s="53" t="n"/>
      <c r="B750" s="43" t="n"/>
      <c r="C750" s="43" t="n"/>
      <c r="D750" s="54" t="n"/>
      <c r="E750" s="55" t="n"/>
      <c r="F750" s="34">
        <f>IF($C750="","",IFERROR(INDEX(Setup!$D$4:$D$28,MATCH($C750,Setup!$C$4:$C$28,0)),"CHECK"))</f>
        <v/>
      </c>
      <c r="G750" s="56">
        <f>IF($A750="","",MONTH($A750))</f>
        <v/>
      </c>
    </row>
    <row r="751">
      <c r="A751" s="48" t="n"/>
      <c r="B751" s="39" t="n"/>
      <c r="C751" s="39" t="n"/>
      <c r="D751" s="49" t="n"/>
      <c r="E751" s="50" t="n"/>
      <c r="F751" s="33">
        <f>IF($C751="","",IFERROR(INDEX(Setup!$D$4:$D$28,MATCH($C751,Setup!$C$4:$C$28,0)),"CHECK"))</f>
        <v/>
      </c>
      <c r="G751" s="51">
        <f>IF($A751="","",MONTH($A751))</f>
        <v/>
      </c>
    </row>
    <row r="752">
      <c r="A752" s="53" t="n"/>
      <c r="B752" s="43" t="n"/>
      <c r="C752" s="43" t="n"/>
      <c r="D752" s="54" t="n"/>
      <c r="E752" s="55" t="n"/>
      <c r="F752" s="34">
        <f>IF($C752="","",IFERROR(INDEX(Setup!$D$4:$D$28,MATCH($C752,Setup!$C$4:$C$28,0)),"CHECK"))</f>
        <v/>
      </c>
      <c r="G752" s="56">
        <f>IF($A752="","",MONTH($A752))</f>
        <v/>
      </c>
    </row>
    <row r="753">
      <c r="A753" s="48" t="n"/>
      <c r="B753" s="39" t="n"/>
      <c r="C753" s="39" t="n"/>
      <c r="D753" s="49" t="n"/>
      <c r="E753" s="50" t="n"/>
      <c r="F753" s="33">
        <f>IF($C753="","",IFERROR(INDEX(Setup!$D$4:$D$28,MATCH($C753,Setup!$C$4:$C$28,0)),"CHECK"))</f>
        <v/>
      </c>
      <c r="G753" s="51">
        <f>IF($A753="","",MONTH($A753))</f>
        <v/>
      </c>
    </row>
    <row r="754">
      <c r="A754" s="53" t="n"/>
      <c r="B754" s="43" t="n"/>
      <c r="C754" s="43" t="n"/>
      <c r="D754" s="54" t="n"/>
      <c r="E754" s="55" t="n"/>
      <c r="F754" s="34">
        <f>IF($C754="","",IFERROR(INDEX(Setup!$D$4:$D$28,MATCH($C754,Setup!$C$4:$C$28,0)),"CHECK"))</f>
        <v/>
      </c>
      <c r="G754" s="56">
        <f>IF($A754="","",MONTH($A754))</f>
        <v/>
      </c>
    </row>
    <row r="755">
      <c r="A755" s="48" t="n"/>
      <c r="B755" s="39" t="n"/>
      <c r="C755" s="39" t="n"/>
      <c r="D755" s="49" t="n"/>
      <c r="E755" s="50" t="n"/>
      <c r="F755" s="33">
        <f>IF($C755="","",IFERROR(INDEX(Setup!$D$4:$D$28,MATCH($C755,Setup!$C$4:$C$28,0)),"CHECK"))</f>
        <v/>
      </c>
      <c r="G755" s="51">
        <f>IF($A755="","",MONTH($A755))</f>
        <v/>
      </c>
    </row>
    <row r="756">
      <c r="A756" s="53" t="n"/>
      <c r="B756" s="43" t="n"/>
      <c r="C756" s="43" t="n"/>
      <c r="D756" s="54" t="n"/>
      <c r="E756" s="55" t="n"/>
      <c r="F756" s="34">
        <f>IF($C756="","",IFERROR(INDEX(Setup!$D$4:$D$28,MATCH($C756,Setup!$C$4:$C$28,0)),"CHECK"))</f>
        <v/>
      </c>
      <c r="G756" s="56">
        <f>IF($A756="","",MONTH($A756))</f>
        <v/>
      </c>
    </row>
    <row r="757">
      <c r="A757" s="48" t="n"/>
      <c r="B757" s="39" t="n"/>
      <c r="C757" s="39" t="n"/>
      <c r="D757" s="49" t="n"/>
      <c r="E757" s="50" t="n"/>
      <c r="F757" s="33">
        <f>IF($C757="","",IFERROR(INDEX(Setup!$D$4:$D$28,MATCH($C757,Setup!$C$4:$C$28,0)),"CHECK"))</f>
        <v/>
      </c>
      <c r="G757" s="51">
        <f>IF($A757="","",MONTH($A757))</f>
        <v/>
      </c>
    </row>
    <row r="758">
      <c r="A758" s="53" t="n"/>
      <c r="B758" s="43" t="n"/>
      <c r="C758" s="43" t="n"/>
      <c r="D758" s="54" t="n"/>
      <c r="E758" s="55" t="n"/>
      <c r="F758" s="34">
        <f>IF($C758="","",IFERROR(INDEX(Setup!$D$4:$D$28,MATCH($C758,Setup!$C$4:$C$28,0)),"CHECK"))</f>
        <v/>
      </c>
      <c r="G758" s="56">
        <f>IF($A758="","",MONTH($A758))</f>
        <v/>
      </c>
    </row>
    <row r="759">
      <c r="A759" s="48" t="n"/>
      <c r="B759" s="39" t="n"/>
      <c r="C759" s="39" t="n"/>
      <c r="D759" s="49" t="n"/>
      <c r="E759" s="50" t="n"/>
      <c r="F759" s="33">
        <f>IF($C759="","",IFERROR(INDEX(Setup!$D$4:$D$28,MATCH($C759,Setup!$C$4:$C$28,0)),"CHECK"))</f>
        <v/>
      </c>
      <c r="G759" s="51">
        <f>IF($A759="","",MONTH($A759))</f>
        <v/>
      </c>
    </row>
    <row r="760">
      <c r="A760" s="53" t="n"/>
      <c r="B760" s="43" t="n"/>
      <c r="C760" s="43" t="n"/>
      <c r="D760" s="54" t="n"/>
      <c r="E760" s="55" t="n"/>
      <c r="F760" s="34">
        <f>IF($C760="","",IFERROR(INDEX(Setup!$D$4:$D$28,MATCH($C760,Setup!$C$4:$C$28,0)),"CHECK"))</f>
        <v/>
      </c>
      <c r="G760" s="56">
        <f>IF($A760="","",MONTH($A760))</f>
        <v/>
      </c>
    </row>
    <row r="761">
      <c r="A761" s="48" t="n"/>
      <c r="B761" s="39" t="n"/>
      <c r="C761" s="39" t="n"/>
      <c r="D761" s="49" t="n"/>
      <c r="E761" s="50" t="n"/>
      <c r="F761" s="33">
        <f>IF($C761="","",IFERROR(INDEX(Setup!$D$4:$D$28,MATCH($C761,Setup!$C$4:$C$28,0)),"CHECK"))</f>
        <v/>
      </c>
      <c r="G761" s="51">
        <f>IF($A761="","",MONTH($A761))</f>
        <v/>
      </c>
    </row>
    <row r="762">
      <c r="A762" s="53" t="n"/>
      <c r="B762" s="43" t="n"/>
      <c r="C762" s="43" t="n"/>
      <c r="D762" s="54" t="n"/>
      <c r="E762" s="55" t="n"/>
      <c r="F762" s="34">
        <f>IF($C762="","",IFERROR(INDEX(Setup!$D$4:$D$28,MATCH($C762,Setup!$C$4:$C$28,0)),"CHECK"))</f>
        <v/>
      </c>
      <c r="G762" s="56">
        <f>IF($A762="","",MONTH($A762))</f>
        <v/>
      </c>
    </row>
    <row r="763">
      <c r="A763" s="48" t="n"/>
      <c r="B763" s="39" t="n"/>
      <c r="C763" s="39" t="n"/>
      <c r="D763" s="49" t="n"/>
      <c r="E763" s="50" t="n"/>
      <c r="F763" s="33">
        <f>IF($C763="","",IFERROR(INDEX(Setup!$D$4:$D$28,MATCH($C763,Setup!$C$4:$C$28,0)),"CHECK"))</f>
        <v/>
      </c>
      <c r="G763" s="51">
        <f>IF($A763="","",MONTH($A763))</f>
        <v/>
      </c>
    </row>
    <row r="764">
      <c r="A764" s="53" t="n"/>
      <c r="B764" s="43" t="n"/>
      <c r="C764" s="43" t="n"/>
      <c r="D764" s="54" t="n"/>
      <c r="E764" s="55" t="n"/>
      <c r="F764" s="34">
        <f>IF($C764="","",IFERROR(INDEX(Setup!$D$4:$D$28,MATCH($C764,Setup!$C$4:$C$28,0)),"CHECK"))</f>
        <v/>
      </c>
      <c r="G764" s="56">
        <f>IF($A764="","",MONTH($A764))</f>
        <v/>
      </c>
    </row>
    <row r="765">
      <c r="A765" s="48" t="n"/>
      <c r="B765" s="39" t="n"/>
      <c r="C765" s="39" t="n"/>
      <c r="D765" s="49" t="n"/>
      <c r="E765" s="50" t="n"/>
      <c r="F765" s="33">
        <f>IF($C765="","",IFERROR(INDEX(Setup!$D$4:$D$28,MATCH($C765,Setup!$C$4:$C$28,0)),"CHECK"))</f>
        <v/>
      </c>
      <c r="G765" s="51">
        <f>IF($A765="","",MONTH($A765))</f>
        <v/>
      </c>
    </row>
    <row r="766">
      <c r="A766" s="53" t="n"/>
      <c r="B766" s="43" t="n"/>
      <c r="C766" s="43" t="n"/>
      <c r="D766" s="54" t="n"/>
      <c r="E766" s="55" t="n"/>
      <c r="F766" s="34">
        <f>IF($C766="","",IFERROR(INDEX(Setup!$D$4:$D$28,MATCH($C766,Setup!$C$4:$C$28,0)),"CHECK"))</f>
        <v/>
      </c>
      <c r="G766" s="56">
        <f>IF($A766="","",MONTH($A766))</f>
        <v/>
      </c>
    </row>
    <row r="767">
      <c r="A767" s="48" t="n"/>
      <c r="B767" s="39" t="n"/>
      <c r="C767" s="39" t="n"/>
      <c r="D767" s="49" t="n"/>
      <c r="E767" s="50" t="n"/>
      <c r="F767" s="33">
        <f>IF($C767="","",IFERROR(INDEX(Setup!$D$4:$D$28,MATCH($C767,Setup!$C$4:$C$28,0)),"CHECK"))</f>
        <v/>
      </c>
      <c r="G767" s="51">
        <f>IF($A767="","",MONTH($A767))</f>
        <v/>
      </c>
    </row>
    <row r="768">
      <c r="A768" s="53" t="n"/>
      <c r="B768" s="43" t="n"/>
      <c r="C768" s="43" t="n"/>
      <c r="D768" s="54" t="n"/>
      <c r="E768" s="55" t="n"/>
      <c r="F768" s="34">
        <f>IF($C768="","",IFERROR(INDEX(Setup!$D$4:$D$28,MATCH($C768,Setup!$C$4:$C$28,0)),"CHECK"))</f>
        <v/>
      </c>
      <c r="G768" s="56">
        <f>IF($A768="","",MONTH($A768))</f>
        <v/>
      </c>
    </row>
    <row r="769">
      <c r="A769" s="48" t="n"/>
      <c r="B769" s="39" t="n"/>
      <c r="C769" s="39" t="n"/>
      <c r="D769" s="49" t="n"/>
      <c r="E769" s="50" t="n"/>
      <c r="F769" s="33">
        <f>IF($C769="","",IFERROR(INDEX(Setup!$D$4:$D$28,MATCH($C769,Setup!$C$4:$C$28,0)),"CHECK"))</f>
        <v/>
      </c>
      <c r="G769" s="51">
        <f>IF($A769="","",MONTH($A769))</f>
        <v/>
      </c>
    </row>
    <row r="770">
      <c r="A770" s="53" t="n"/>
      <c r="B770" s="43" t="n"/>
      <c r="C770" s="43" t="n"/>
      <c r="D770" s="54" t="n"/>
      <c r="E770" s="55" t="n"/>
      <c r="F770" s="34">
        <f>IF($C770="","",IFERROR(INDEX(Setup!$D$4:$D$28,MATCH($C770,Setup!$C$4:$C$28,0)),"CHECK"))</f>
        <v/>
      </c>
      <c r="G770" s="56">
        <f>IF($A770="","",MONTH($A770))</f>
        <v/>
      </c>
    </row>
    <row r="771">
      <c r="A771" s="48" t="n"/>
      <c r="B771" s="39" t="n"/>
      <c r="C771" s="39" t="n"/>
      <c r="D771" s="49" t="n"/>
      <c r="E771" s="50" t="n"/>
      <c r="F771" s="33">
        <f>IF($C771="","",IFERROR(INDEX(Setup!$D$4:$D$28,MATCH($C771,Setup!$C$4:$C$28,0)),"CHECK"))</f>
        <v/>
      </c>
      <c r="G771" s="51">
        <f>IF($A771="","",MONTH($A771))</f>
        <v/>
      </c>
    </row>
    <row r="772">
      <c r="A772" s="53" t="n"/>
      <c r="B772" s="43" t="n"/>
      <c r="C772" s="43" t="n"/>
      <c r="D772" s="54" t="n"/>
      <c r="E772" s="55" t="n"/>
      <c r="F772" s="34">
        <f>IF($C772="","",IFERROR(INDEX(Setup!$D$4:$D$28,MATCH($C772,Setup!$C$4:$C$28,0)),"CHECK"))</f>
        <v/>
      </c>
      <c r="G772" s="56">
        <f>IF($A772="","",MONTH($A772))</f>
        <v/>
      </c>
    </row>
    <row r="773">
      <c r="A773" s="48" t="n"/>
      <c r="B773" s="39" t="n"/>
      <c r="C773" s="39" t="n"/>
      <c r="D773" s="49" t="n"/>
      <c r="E773" s="50" t="n"/>
      <c r="F773" s="33">
        <f>IF($C773="","",IFERROR(INDEX(Setup!$D$4:$D$28,MATCH($C773,Setup!$C$4:$C$28,0)),"CHECK"))</f>
        <v/>
      </c>
      <c r="G773" s="51">
        <f>IF($A773="","",MONTH($A773))</f>
        <v/>
      </c>
    </row>
    <row r="774">
      <c r="A774" s="53" t="n"/>
      <c r="B774" s="43" t="n"/>
      <c r="C774" s="43" t="n"/>
      <c r="D774" s="54" t="n"/>
      <c r="E774" s="55" t="n"/>
      <c r="F774" s="34">
        <f>IF($C774="","",IFERROR(INDEX(Setup!$D$4:$D$28,MATCH($C774,Setup!$C$4:$C$28,0)),"CHECK"))</f>
        <v/>
      </c>
      <c r="G774" s="56">
        <f>IF($A774="","",MONTH($A774))</f>
        <v/>
      </c>
    </row>
    <row r="775">
      <c r="A775" s="48" t="n"/>
      <c r="B775" s="39" t="n"/>
      <c r="C775" s="39" t="n"/>
      <c r="D775" s="49" t="n"/>
      <c r="E775" s="50" t="n"/>
      <c r="F775" s="33">
        <f>IF($C775="","",IFERROR(INDEX(Setup!$D$4:$D$28,MATCH($C775,Setup!$C$4:$C$28,0)),"CHECK"))</f>
        <v/>
      </c>
      <c r="G775" s="51">
        <f>IF($A775="","",MONTH($A775))</f>
        <v/>
      </c>
    </row>
    <row r="776">
      <c r="A776" s="53" t="n"/>
      <c r="B776" s="43" t="n"/>
      <c r="C776" s="43" t="n"/>
      <c r="D776" s="54" t="n"/>
      <c r="E776" s="55" t="n"/>
      <c r="F776" s="34">
        <f>IF($C776="","",IFERROR(INDEX(Setup!$D$4:$D$28,MATCH($C776,Setup!$C$4:$C$28,0)),"CHECK"))</f>
        <v/>
      </c>
      <c r="G776" s="56">
        <f>IF($A776="","",MONTH($A776))</f>
        <v/>
      </c>
    </row>
    <row r="777">
      <c r="A777" s="48" t="n"/>
      <c r="B777" s="39" t="n"/>
      <c r="C777" s="39" t="n"/>
      <c r="D777" s="49" t="n"/>
      <c r="E777" s="50" t="n"/>
      <c r="F777" s="33">
        <f>IF($C777="","",IFERROR(INDEX(Setup!$D$4:$D$28,MATCH($C777,Setup!$C$4:$C$28,0)),"CHECK"))</f>
        <v/>
      </c>
      <c r="G777" s="51">
        <f>IF($A777="","",MONTH($A777))</f>
        <v/>
      </c>
    </row>
    <row r="778">
      <c r="A778" s="53" t="n"/>
      <c r="B778" s="43" t="n"/>
      <c r="C778" s="43" t="n"/>
      <c r="D778" s="54" t="n"/>
      <c r="E778" s="55" t="n"/>
      <c r="F778" s="34">
        <f>IF($C778="","",IFERROR(INDEX(Setup!$D$4:$D$28,MATCH($C778,Setup!$C$4:$C$28,0)),"CHECK"))</f>
        <v/>
      </c>
      <c r="G778" s="56">
        <f>IF($A778="","",MONTH($A778))</f>
        <v/>
      </c>
    </row>
    <row r="779">
      <c r="A779" s="48" t="n"/>
      <c r="B779" s="39" t="n"/>
      <c r="C779" s="39" t="n"/>
      <c r="D779" s="49" t="n"/>
      <c r="E779" s="50" t="n"/>
      <c r="F779" s="33">
        <f>IF($C779="","",IFERROR(INDEX(Setup!$D$4:$D$28,MATCH($C779,Setup!$C$4:$C$28,0)),"CHECK"))</f>
        <v/>
      </c>
      <c r="G779" s="51">
        <f>IF($A779="","",MONTH($A779))</f>
        <v/>
      </c>
    </row>
    <row r="780">
      <c r="A780" s="53" t="n"/>
      <c r="B780" s="43" t="n"/>
      <c r="C780" s="43" t="n"/>
      <c r="D780" s="54" t="n"/>
      <c r="E780" s="55" t="n"/>
      <c r="F780" s="34">
        <f>IF($C780="","",IFERROR(INDEX(Setup!$D$4:$D$28,MATCH($C780,Setup!$C$4:$C$28,0)),"CHECK"))</f>
        <v/>
      </c>
      <c r="G780" s="56">
        <f>IF($A780="","",MONTH($A780))</f>
        <v/>
      </c>
    </row>
    <row r="781">
      <c r="A781" s="48" t="n"/>
      <c r="B781" s="39" t="n"/>
      <c r="C781" s="39" t="n"/>
      <c r="D781" s="49" t="n"/>
      <c r="E781" s="50" t="n"/>
      <c r="F781" s="33">
        <f>IF($C781="","",IFERROR(INDEX(Setup!$D$4:$D$28,MATCH($C781,Setup!$C$4:$C$28,0)),"CHECK"))</f>
        <v/>
      </c>
      <c r="G781" s="51">
        <f>IF($A781="","",MONTH($A781))</f>
        <v/>
      </c>
    </row>
    <row r="782">
      <c r="A782" s="53" t="n"/>
      <c r="B782" s="43" t="n"/>
      <c r="C782" s="43" t="n"/>
      <c r="D782" s="54" t="n"/>
      <c r="E782" s="55" t="n"/>
      <c r="F782" s="34">
        <f>IF($C782="","",IFERROR(INDEX(Setup!$D$4:$D$28,MATCH($C782,Setup!$C$4:$C$28,0)),"CHECK"))</f>
        <v/>
      </c>
      <c r="G782" s="56">
        <f>IF($A782="","",MONTH($A782))</f>
        <v/>
      </c>
    </row>
    <row r="783">
      <c r="A783" s="48" t="n"/>
      <c r="B783" s="39" t="n"/>
      <c r="C783" s="39" t="n"/>
      <c r="D783" s="49" t="n"/>
      <c r="E783" s="50" t="n"/>
      <c r="F783" s="33">
        <f>IF($C783="","",IFERROR(INDEX(Setup!$D$4:$D$28,MATCH($C783,Setup!$C$4:$C$28,0)),"CHECK"))</f>
        <v/>
      </c>
      <c r="G783" s="51">
        <f>IF($A783="","",MONTH($A783))</f>
        <v/>
      </c>
    </row>
    <row r="784">
      <c r="A784" s="53" t="n"/>
      <c r="B784" s="43" t="n"/>
      <c r="C784" s="43" t="n"/>
      <c r="D784" s="54" t="n"/>
      <c r="E784" s="55" t="n"/>
      <c r="F784" s="34">
        <f>IF($C784="","",IFERROR(INDEX(Setup!$D$4:$D$28,MATCH($C784,Setup!$C$4:$C$28,0)),"CHECK"))</f>
        <v/>
      </c>
      <c r="G784" s="56">
        <f>IF($A784="","",MONTH($A784))</f>
        <v/>
      </c>
    </row>
    <row r="785">
      <c r="A785" s="48" t="n"/>
      <c r="B785" s="39" t="n"/>
      <c r="C785" s="39" t="n"/>
      <c r="D785" s="49" t="n"/>
      <c r="E785" s="50" t="n"/>
      <c r="F785" s="33">
        <f>IF($C785="","",IFERROR(INDEX(Setup!$D$4:$D$28,MATCH($C785,Setup!$C$4:$C$28,0)),"CHECK"))</f>
        <v/>
      </c>
      <c r="G785" s="51">
        <f>IF($A785="","",MONTH($A785))</f>
        <v/>
      </c>
    </row>
    <row r="786">
      <c r="A786" s="53" t="n"/>
      <c r="B786" s="43" t="n"/>
      <c r="C786" s="43" t="n"/>
      <c r="D786" s="54" t="n"/>
      <c r="E786" s="55" t="n"/>
      <c r="F786" s="34">
        <f>IF($C786="","",IFERROR(INDEX(Setup!$D$4:$D$28,MATCH($C786,Setup!$C$4:$C$28,0)),"CHECK"))</f>
        <v/>
      </c>
      <c r="G786" s="56">
        <f>IF($A786="","",MONTH($A786))</f>
        <v/>
      </c>
    </row>
    <row r="787">
      <c r="A787" s="48" t="n"/>
      <c r="B787" s="39" t="n"/>
      <c r="C787" s="39" t="n"/>
      <c r="D787" s="49" t="n"/>
      <c r="E787" s="50" t="n"/>
      <c r="F787" s="33">
        <f>IF($C787="","",IFERROR(INDEX(Setup!$D$4:$D$28,MATCH($C787,Setup!$C$4:$C$28,0)),"CHECK"))</f>
        <v/>
      </c>
      <c r="G787" s="51">
        <f>IF($A787="","",MONTH($A787))</f>
        <v/>
      </c>
    </row>
    <row r="788">
      <c r="A788" s="53" t="n"/>
      <c r="B788" s="43" t="n"/>
      <c r="C788" s="43" t="n"/>
      <c r="D788" s="54" t="n"/>
      <c r="E788" s="55" t="n"/>
      <c r="F788" s="34">
        <f>IF($C788="","",IFERROR(INDEX(Setup!$D$4:$D$28,MATCH($C788,Setup!$C$4:$C$28,0)),"CHECK"))</f>
        <v/>
      </c>
      <c r="G788" s="56">
        <f>IF($A788="","",MONTH($A788))</f>
        <v/>
      </c>
    </row>
    <row r="789">
      <c r="A789" s="48" t="n"/>
      <c r="B789" s="39" t="n"/>
      <c r="C789" s="39" t="n"/>
      <c r="D789" s="49" t="n"/>
      <c r="E789" s="50" t="n"/>
      <c r="F789" s="33">
        <f>IF($C789="","",IFERROR(INDEX(Setup!$D$4:$D$28,MATCH($C789,Setup!$C$4:$C$28,0)),"CHECK"))</f>
        <v/>
      </c>
      <c r="G789" s="51">
        <f>IF($A789="","",MONTH($A789))</f>
        <v/>
      </c>
    </row>
    <row r="790">
      <c r="A790" s="53" t="n"/>
      <c r="B790" s="43" t="n"/>
      <c r="C790" s="43" t="n"/>
      <c r="D790" s="54" t="n"/>
      <c r="E790" s="55" t="n"/>
      <c r="F790" s="34">
        <f>IF($C790="","",IFERROR(INDEX(Setup!$D$4:$D$28,MATCH($C790,Setup!$C$4:$C$28,0)),"CHECK"))</f>
        <v/>
      </c>
      <c r="G790" s="56">
        <f>IF($A790="","",MONTH($A790))</f>
        <v/>
      </c>
    </row>
    <row r="791">
      <c r="A791" s="48" t="n"/>
      <c r="B791" s="39" t="n"/>
      <c r="C791" s="39" t="n"/>
      <c r="D791" s="49" t="n"/>
      <c r="E791" s="50" t="n"/>
      <c r="F791" s="33">
        <f>IF($C791="","",IFERROR(INDEX(Setup!$D$4:$D$28,MATCH($C791,Setup!$C$4:$C$28,0)),"CHECK"))</f>
        <v/>
      </c>
      <c r="G791" s="51">
        <f>IF($A791="","",MONTH($A791))</f>
        <v/>
      </c>
    </row>
    <row r="792">
      <c r="A792" s="53" t="n"/>
      <c r="B792" s="43" t="n"/>
      <c r="C792" s="43" t="n"/>
      <c r="D792" s="54" t="n"/>
      <c r="E792" s="55" t="n"/>
      <c r="F792" s="34">
        <f>IF($C792="","",IFERROR(INDEX(Setup!$D$4:$D$28,MATCH($C792,Setup!$C$4:$C$28,0)),"CHECK"))</f>
        <v/>
      </c>
      <c r="G792" s="56">
        <f>IF($A792="","",MONTH($A792))</f>
        <v/>
      </c>
    </row>
    <row r="793">
      <c r="A793" s="48" t="n"/>
      <c r="B793" s="39" t="n"/>
      <c r="C793" s="39" t="n"/>
      <c r="D793" s="49" t="n"/>
      <c r="E793" s="50" t="n"/>
      <c r="F793" s="33">
        <f>IF($C793="","",IFERROR(INDEX(Setup!$D$4:$D$28,MATCH($C793,Setup!$C$4:$C$28,0)),"CHECK"))</f>
        <v/>
      </c>
      <c r="G793" s="51">
        <f>IF($A793="","",MONTH($A793))</f>
        <v/>
      </c>
    </row>
    <row r="794">
      <c r="A794" s="53" t="n"/>
      <c r="B794" s="43" t="n"/>
      <c r="C794" s="43" t="n"/>
      <c r="D794" s="54" t="n"/>
      <c r="E794" s="55" t="n"/>
      <c r="F794" s="34">
        <f>IF($C794="","",IFERROR(INDEX(Setup!$D$4:$D$28,MATCH($C794,Setup!$C$4:$C$28,0)),"CHECK"))</f>
        <v/>
      </c>
      <c r="G794" s="56">
        <f>IF($A794="","",MONTH($A794))</f>
        <v/>
      </c>
    </row>
    <row r="795">
      <c r="A795" s="48" t="n"/>
      <c r="B795" s="39" t="n"/>
      <c r="C795" s="39" t="n"/>
      <c r="D795" s="49" t="n"/>
      <c r="E795" s="50" t="n"/>
      <c r="F795" s="33">
        <f>IF($C795="","",IFERROR(INDEX(Setup!$D$4:$D$28,MATCH($C795,Setup!$C$4:$C$28,0)),"CHECK"))</f>
        <v/>
      </c>
      <c r="G795" s="51">
        <f>IF($A795="","",MONTH($A795))</f>
        <v/>
      </c>
    </row>
    <row r="796">
      <c r="A796" s="53" t="n"/>
      <c r="B796" s="43" t="n"/>
      <c r="C796" s="43" t="n"/>
      <c r="D796" s="54" t="n"/>
      <c r="E796" s="55" t="n"/>
      <c r="F796" s="34">
        <f>IF($C796="","",IFERROR(INDEX(Setup!$D$4:$D$28,MATCH($C796,Setup!$C$4:$C$28,0)),"CHECK"))</f>
        <v/>
      </c>
      <c r="G796" s="56">
        <f>IF($A796="","",MONTH($A796))</f>
        <v/>
      </c>
    </row>
    <row r="797">
      <c r="A797" s="48" t="n"/>
      <c r="B797" s="39" t="n"/>
      <c r="C797" s="39" t="n"/>
      <c r="D797" s="49" t="n"/>
      <c r="E797" s="50" t="n"/>
      <c r="F797" s="33">
        <f>IF($C797="","",IFERROR(INDEX(Setup!$D$4:$D$28,MATCH($C797,Setup!$C$4:$C$28,0)),"CHECK"))</f>
        <v/>
      </c>
      <c r="G797" s="51">
        <f>IF($A797="","",MONTH($A797))</f>
        <v/>
      </c>
    </row>
    <row r="798">
      <c r="A798" s="53" t="n"/>
      <c r="B798" s="43" t="n"/>
      <c r="C798" s="43" t="n"/>
      <c r="D798" s="54" t="n"/>
      <c r="E798" s="55" t="n"/>
      <c r="F798" s="34">
        <f>IF($C798="","",IFERROR(INDEX(Setup!$D$4:$D$28,MATCH($C798,Setup!$C$4:$C$28,0)),"CHECK"))</f>
        <v/>
      </c>
      <c r="G798" s="56">
        <f>IF($A798="","",MONTH($A798))</f>
        <v/>
      </c>
    </row>
    <row r="799">
      <c r="A799" s="48" t="n"/>
      <c r="B799" s="39" t="n"/>
      <c r="C799" s="39" t="n"/>
      <c r="D799" s="49" t="n"/>
      <c r="E799" s="50" t="n"/>
      <c r="F799" s="33">
        <f>IF($C799="","",IFERROR(INDEX(Setup!$D$4:$D$28,MATCH($C799,Setup!$C$4:$C$28,0)),"CHECK"))</f>
        <v/>
      </c>
      <c r="G799" s="51">
        <f>IF($A799="","",MONTH($A799))</f>
        <v/>
      </c>
    </row>
    <row r="800">
      <c r="A800" s="53" t="n"/>
      <c r="B800" s="43" t="n"/>
      <c r="C800" s="43" t="n"/>
      <c r="D800" s="54" t="n"/>
      <c r="E800" s="55" t="n"/>
      <c r="F800" s="34">
        <f>IF($C800="","",IFERROR(INDEX(Setup!$D$4:$D$28,MATCH($C800,Setup!$C$4:$C$28,0)),"CHECK"))</f>
        <v/>
      </c>
      <c r="G800" s="56">
        <f>IF($A800="","",MONTH($A800))</f>
        <v/>
      </c>
    </row>
    <row r="801">
      <c r="A801" s="48" t="n"/>
      <c r="B801" s="39" t="n"/>
      <c r="C801" s="39" t="n"/>
      <c r="D801" s="49" t="n"/>
      <c r="E801" s="50" t="n"/>
      <c r="F801" s="33">
        <f>IF($C801="","",IFERROR(INDEX(Setup!$D$4:$D$28,MATCH($C801,Setup!$C$4:$C$28,0)),"CHECK"))</f>
        <v/>
      </c>
      <c r="G801" s="51">
        <f>IF($A801="","",MONTH($A801))</f>
        <v/>
      </c>
    </row>
    <row r="802">
      <c r="A802" s="53" t="n"/>
      <c r="B802" s="43" t="n"/>
      <c r="C802" s="43" t="n"/>
      <c r="D802" s="54" t="n"/>
      <c r="E802" s="55" t="n"/>
      <c r="F802" s="34">
        <f>IF($C802="","",IFERROR(INDEX(Setup!$D$4:$D$28,MATCH($C802,Setup!$C$4:$C$28,0)),"CHECK"))</f>
        <v/>
      </c>
      <c r="G802" s="56">
        <f>IF($A802="","",MONTH($A802))</f>
        <v/>
      </c>
    </row>
    <row r="803">
      <c r="A803" s="48" t="n"/>
      <c r="B803" s="39" t="n"/>
      <c r="C803" s="39" t="n"/>
      <c r="D803" s="49" t="n"/>
      <c r="E803" s="50" t="n"/>
      <c r="F803" s="33">
        <f>IF($C803="","",IFERROR(INDEX(Setup!$D$4:$D$28,MATCH($C803,Setup!$C$4:$C$28,0)),"CHECK"))</f>
        <v/>
      </c>
      <c r="G803" s="51">
        <f>IF($A803="","",MONTH($A803))</f>
        <v/>
      </c>
    </row>
    <row r="804">
      <c r="A804" s="53" t="n"/>
      <c r="B804" s="43" t="n"/>
      <c r="C804" s="43" t="n"/>
      <c r="D804" s="54" t="n"/>
      <c r="E804" s="55" t="n"/>
      <c r="F804" s="34">
        <f>IF($C804="","",IFERROR(INDEX(Setup!$D$4:$D$28,MATCH($C804,Setup!$C$4:$C$28,0)),"CHECK"))</f>
        <v/>
      </c>
      <c r="G804" s="56">
        <f>IF($A804="","",MONTH($A804))</f>
        <v/>
      </c>
    </row>
    <row r="805">
      <c r="A805" s="48" t="n"/>
      <c r="B805" s="39" t="n"/>
      <c r="C805" s="39" t="n"/>
      <c r="D805" s="49" t="n"/>
      <c r="E805" s="50" t="n"/>
      <c r="F805" s="33">
        <f>IF($C805="","",IFERROR(INDEX(Setup!$D$4:$D$28,MATCH($C805,Setup!$C$4:$C$28,0)),"CHECK"))</f>
        <v/>
      </c>
      <c r="G805" s="51">
        <f>IF($A805="","",MONTH($A805))</f>
        <v/>
      </c>
    </row>
    <row r="806">
      <c r="A806" s="53" t="n"/>
      <c r="B806" s="43" t="n"/>
      <c r="C806" s="43" t="n"/>
      <c r="D806" s="54" t="n"/>
      <c r="E806" s="55" t="n"/>
      <c r="F806" s="34">
        <f>IF($C806="","",IFERROR(INDEX(Setup!$D$4:$D$28,MATCH($C806,Setup!$C$4:$C$28,0)),"CHECK"))</f>
        <v/>
      </c>
      <c r="G806" s="56">
        <f>IF($A806="","",MONTH($A806))</f>
        <v/>
      </c>
    </row>
    <row r="807">
      <c r="A807" s="48" t="n"/>
      <c r="B807" s="39" t="n"/>
      <c r="C807" s="39" t="n"/>
      <c r="D807" s="49" t="n"/>
      <c r="E807" s="50" t="n"/>
      <c r="F807" s="33">
        <f>IF($C807="","",IFERROR(INDEX(Setup!$D$4:$D$28,MATCH($C807,Setup!$C$4:$C$28,0)),"CHECK"))</f>
        <v/>
      </c>
      <c r="G807" s="51">
        <f>IF($A807="","",MONTH($A807))</f>
        <v/>
      </c>
    </row>
    <row r="808">
      <c r="A808" s="53" t="n"/>
      <c r="B808" s="43" t="n"/>
      <c r="C808" s="43" t="n"/>
      <c r="D808" s="54" t="n"/>
      <c r="E808" s="55" t="n"/>
      <c r="F808" s="34">
        <f>IF($C808="","",IFERROR(INDEX(Setup!$D$4:$D$28,MATCH($C808,Setup!$C$4:$C$28,0)),"CHECK"))</f>
        <v/>
      </c>
      <c r="G808" s="56">
        <f>IF($A808="","",MONTH($A808))</f>
        <v/>
      </c>
    </row>
    <row r="809">
      <c r="A809" s="48" t="n"/>
      <c r="B809" s="39" t="n"/>
      <c r="C809" s="39" t="n"/>
      <c r="D809" s="49" t="n"/>
      <c r="E809" s="50" t="n"/>
      <c r="F809" s="33">
        <f>IF($C809="","",IFERROR(INDEX(Setup!$D$4:$D$28,MATCH($C809,Setup!$C$4:$C$28,0)),"CHECK"))</f>
        <v/>
      </c>
      <c r="G809" s="51">
        <f>IF($A809="","",MONTH($A809))</f>
        <v/>
      </c>
    </row>
    <row r="810">
      <c r="A810" s="53" t="n"/>
      <c r="B810" s="43" t="n"/>
      <c r="C810" s="43" t="n"/>
      <c r="D810" s="54" t="n"/>
      <c r="E810" s="55" t="n"/>
      <c r="F810" s="34">
        <f>IF($C810="","",IFERROR(INDEX(Setup!$D$4:$D$28,MATCH($C810,Setup!$C$4:$C$28,0)),"CHECK"))</f>
        <v/>
      </c>
      <c r="G810" s="56">
        <f>IF($A810="","",MONTH($A810))</f>
        <v/>
      </c>
    </row>
    <row r="811">
      <c r="A811" s="48" t="n"/>
      <c r="B811" s="39" t="n"/>
      <c r="C811" s="39" t="n"/>
      <c r="D811" s="49" t="n"/>
      <c r="E811" s="50" t="n"/>
      <c r="F811" s="33">
        <f>IF($C811="","",IFERROR(INDEX(Setup!$D$4:$D$28,MATCH($C811,Setup!$C$4:$C$28,0)),"CHECK"))</f>
        <v/>
      </c>
      <c r="G811" s="51">
        <f>IF($A811="","",MONTH($A811))</f>
        <v/>
      </c>
    </row>
    <row r="812">
      <c r="A812" s="53" t="n"/>
      <c r="B812" s="43" t="n"/>
      <c r="C812" s="43" t="n"/>
      <c r="D812" s="54" t="n"/>
      <c r="E812" s="55" t="n"/>
      <c r="F812" s="34">
        <f>IF($C812="","",IFERROR(INDEX(Setup!$D$4:$D$28,MATCH($C812,Setup!$C$4:$C$28,0)),"CHECK"))</f>
        <v/>
      </c>
      <c r="G812" s="56">
        <f>IF($A812="","",MONTH($A812))</f>
        <v/>
      </c>
    </row>
    <row r="813">
      <c r="A813" s="48" t="n"/>
      <c r="B813" s="39" t="n"/>
      <c r="C813" s="39" t="n"/>
      <c r="D813" s="49" t="n"/>
      <c r="E813" s="50" t="n"/>
      <c r="F813" s="33">
        <f>IF($C813="","",IFERROR(INDEX(Setup!$D$4:$D$28,MATCH($C813,Setup!$C$4:$C$28,0)),"CHECK"))</f>
        <v/>
      </c>
      <c r="G813" s="51">
        <f>IF($A813="","",MONTH($A813))</f>
        <v/>
      </c>
    </row>
    <row r="814">
      <c r="A814" s="53" t="n"/>
      <c r="B814" s="43" t="n"/>
      <c r="C814" s="43" t="n"/>
      <c r="D814" s="54" t="n"/>
      <c r="E814" s="55" t="n"/>
      <c r="F814" s="34">
        <f>IF($C814="","",IFERROR(INDEX(Setup!$D$4:$D$28,MATCH($C814,Setup!$C$4:$C$28,0)),"CHECK"))</f>
        <v/>
      </c>
      <c r="G814" s="56">
        <f>IF($A814="","",MONTH($A814))</f>
        <v/>
      </c>
    </row>
    <row r="815">
      <c r="A815" s="48" t="n"/>
      <c r="B815" s="39" t="n"/>
      <c r="C815" s="39" t="n"/>
      <c r="D815" s="49" t="n"/>
      <c r="E815" s="50" t="n"/>
      <c r="F815" s="33">
        <f>IF($C815="","",IFERROR(INDEX(Setup!$D$4:$D$28,MATCH($C815,Setup!$C$4:$C$28,0)),"CHECK"))</f>
        <v/>
      </c>
      <c r="G815" s="51">
        <f>IF($A815="","",MONTH($A815))</f>
        <v/>
      </c>
    </row>
    <row r="816">
      <c r="A816" s="53" t="n"/>
      <c r="B816" s="43" t="n"/>
      <c r="C816" s="43" t="n"/>
      <c r="D816" s="54" t="n"/>
      <c r="E816" s="55" t="n"/>
      <c r="F816" s="34">
        <f>IF($C816="","",IFERROR(INDEX(Setup!$D$4:$D$28,MATCH($C816,Setup!$C$4:$C$28,0)),"CHECK"))</f>
        <v/>
      </c>
      <c r="G816" s="56">
        <f>IF($A816="","",MONTH($A816))</f>
        <v/>
      </c>
    </row>
    <row r="817">
      <c r="A817" s="48" t="n"/>
      <c r="B817" s="39" t="n"/>
      <c r="C817" s="39" t="n"/>
      <c r="D817" s="49" t="n"/>
      <c r="E817" s="50" t="n"/>
      <c r="F817" s="33">
        <f>IF($C817="","",IFERROR(INDEX(Setup!$D$4:$D$28,MATCH($C817,Setup!$C$4:$C$28,0)),"CHECK"))</f>
        <v/>
      </c>
      <c r="G817" s="51">
        <f>IF($A817="","",MONTH($A817))</f>
        <v/>
      </c>
    </row>
    <row r="818">
      <c r="A818" s="53" t="n"/>
      <c r="B818" s="43" t="n"/>
      <c r="C818" s="43" t="n"/>
      <c r="D818" s="54" t="n"/>
      <c r="E818" s="55" t="n"/>
      <c r="F818" s="34">
        <f>IF($C818="","",IFERROR(INDEX(Setup!$D$4:$D$28,MATCH($C818,Setup!$C$4:$C$28,0)),"CHECK"))</f>
        <v/>
      </c>
      <c r="G818" s="56">
        <f>IF($A818="","",MONTH($A818))</f>
        <v/>
      </c>
    </row>
    <row r="819">
      <c r="A819" s="48" t="n"/>
      <c r="B819" s="39" t="n"/>
      <c r="C819" s="39" t="n"/>
      <c r="D819" s="49" t="n"/>
      <c r="E819" s="50" t="n"/>
      <c r="F819" s="33">
        <f>IF($C819="","",IFERROR(INDEX(Setup!$D$4:$D$28,MATCH($C819,Setup!$C$4:$C$28,0)),"CHECK"))</f>
        <v/>
      </c>
      <c r="G819" s="51">
        <f>IF($A819="","",MONTH($A819))</f>
        <v/>
      </c>
    </row>
    <row r="820">
      <c r="A820" s="53" t="n"/>
      <c r="B820" s="43" t="n"/>
      <c r="C820" s="43" t="n"/>
      <c r="D820" s="54" t="n"/>
      <c r="E820" s="55" t="n"/>
      <c r="F820" s="34">
        <f>IF($C820="","",IFERROR(INDEX(Setup!$D$4:$D$28,MATCH($C820,Setup!$C$4:$C$28,0)),"CHECK"))</f>
        <v/>
      </c>
      <c r="G820" s="56">
        <f>IF($A820="","",MONTH($A820))</f>
        <v/>
      </c>
    </row>
    <row r="821">
      <c r="A821" s="48" t="n"/>
      <c r="B821" s="39" t="n"/>
      <c r="C821" s="39" t="n"/>
      <c r="D821" s="49" t="n"/>
      <c r="E821" s="50" t="n"/>
      <c r="F821" s="33">
        <f>IF($C821="","",IFERROR(INDEX(Setup!$D$4:$D$28,MATCH($C821,Setup!$C$4:$C$28,0)),"CHECK"))</f>
        <v/>
      </c>
      <c r="G821" s="51">
        <f>IF($A821="","",MONTH($A821))</f>
        <v/>
      </c>
    </row>
    <row r="822">
      <c r="A822" s="53" t="n"/>
      <c r="B822" s="43" t="n"/>
      <c r="C822" s="43" t="n"/>
      <c r="D822" s="54" t="n"/>
      <c r="E822" s="55" t="n"/>
      <c r="F822" s="34">
        <f>IF($C822="","",IFERROR(INDEX(Setup!$D$4:$D$28,MATCH($C822,Setup!$C$4:$C$28,0)),"CHECK"))</f>
        <v/>
      </c>
      <c r="G822" s="56">
        <f>IF($A822="","",MONTH($A822))</f>
        <v/>
      </c>
    </row>
    <row r="823">
      <c r="A823" s="48" t="n"/>
      <c r="B823" s="39" t="n"/>
      <c r="C823" s="39" t="n"/>
      <c r="D823" s="49" t="n"/>
      <c r="E823" s="50" t="n"/>
      <c r="F823" s="33">
        <f>IF($C823="","",IFERROR(INDEX(Setup!$D$4:$D$28,MATCH($C823,Setup!$C$4:$C$28,0)),"CHECK"))</f>
        <v/>
      </c>
      <c r="G823" s="51">
        <f>IF($A823="","",MONTH($A823))</f>
        <v/>
      </c>
    </row>
    <row r="824">
      <c r="A824" s="53" t="n"/>
      <c r="B824" s="43" t="n"/>
      <c r="C824" s="43" t="n"/>
      <c r="D824" s="54" t="n"/>
      <c r="E824" s="55" t="n"/>
      <c r="F824" s="34">
        <f>IF($C824="","",IFERROR(INDEX(Setup!$D$4:$D$28,MATCH($C824,Setup!$C$4:$C$28,0)),"CHECK"))</f>
        <v/>
      </c>
      <c r="G824" s="56">
        <f>IF($A824="","",MONTH($A824))</f>
        <v/>
      </c>
    </row>
    <row r="825">
      <c r="A825" s="48" t="n"/>
      <c r="B825" s="39" t="n"/>
      <c r="C825" s="39" t="n"/>
      <c r="D825" s="49" t="n"/>
      <c r="E825" s="50" t="n"/>
      <c r="F825" s="33">
        <f>IF($C825="","",IFERROR(INDEX(Setup!$D$4:$D$28,MATCH($C825,Setup!$C$4:$C$28,0)),"CHECK"))</f>
        <v/>
      </c>
      <c r="G825" s="51">
        <f>IF($A825="","",MONTH($A825))</f>
        <v/>
      </c>
    </row>
    <row r="826">
      <c r="A826" s="53" t="n"/>
      <c r="B826" s="43" t="n"/>
      <c r="C826" s="43" t="n"/>
      <c r="D826" s="54" t="n"/>
      <c r="E826" s="55" t="n"/>
      <c r="F826" s="34">
        <f>IF($C826="","",IFERROR(INDEX(Setup!$D$4:$D$28,MATCH($C826,Setup!$C$4:$C$28,0)),"CHECK"))</f>
        <v/>
      </c>
      <c r="G826" s="56">
        <f>IF($A826="","",MONTH($A826))</f>
        <v/>
      </c>
    </row>
    <row r="827">
      <c r="A827" s="48" t="n"/>
      <c r="B827" s="39" t="n"/>
      <c r="C827" s="39" t="n"/>
      <c r="D827" s="49" t="n"/>
      <c r="E827" s="50" t="n"/>
      <c r="F827" s="33">
        <f>IF($C827="","",IFERROR(INDEX(Setup!$D$4:$D$28,MATCH($C827,Setup!$C$4:$C$28,0)),"CHECK"))</f>
        <v/>
      </c>
      <c r="G827" s="51">
        <f>IF($A827="","",MONTH($A827))</f>
        <v/>
      </c>
    </row>
    <row r="828">
      <c r="A828" s="53" t="n"/>
      <c r="B828" s="43" t="n"/>
      <c r="C828" s="43" t="n"/>
      <c r="D828" s="54" t="n"/>
      <c r="E828" s="55" t="n"/>
      <c r="F828" s="34">
        <f>IF($C828="","",IFERROR(INDEX(Setup!$D$4:$D$28,MATCH($C828,Setup!$C$4:$C$28,0)),"CHECK"))</f>
        <v/>
      </c>
      <c r="G828" s="56">
        <f>IF($A828="","",MONTH($A828))</f>
        <v/>
      </c>
    </row>
    <row r="829">
      <c r="A829" s="48" t="n"/>
      <c r="B829" s="39" t="n"/>
      <c r="C829" s="39" t="n"/>
      <c r="D829" s="49" t="n"/>
      <c r="E829" s="50" t="n"/>
      <c r="F829" s="33">
        <f>IF($C829="","",IFERROR(INDEX(Setup!$D$4:$D$28,MATCH($C829,Setup!$C$4:$C$28,0)),"CHECK"))</f>
        <v/>
      </c>
      <c r="G829" s="51">
        <f>IF($A829="","",MONTH($A829))</f>
        <v/>
      </c>
    </row>
    <row r="830">
      <c r="A830" s="53" t="n"/>
      <c r="B830" s="43" t="n"/>
      <c r="C830" s="43" t="n"/>
      <c r="D830" s="54" t="n"/>
      <c r="E830" s="55" t="n"/>
      <c r="F830" s="34">
        <f>IF($C830="","",IFERROR(INDEX(Setup!$D$4:$D$28,MATCH($C830,Setup!$C$4:$C$28,0)),"CHECK"))</f>
        <v/>
      </c>
      <c r="G830" s="56">
        <f>IF($A830="","",MONTH($A830))</f>
        <v/>
      </c>
    </row>
    <row r="831">
      <c r="A831" s="48" t="n"/>
      <c r="B831" s="39" t="n"/>
      <c r="C831" s="39" t="n"/>
      <c r="D831" s="49" t="n"/>
      <c r="E831" s="50" t="n"/>
      <c r="F831" s="33">
        <f>IF($C831="","",IFERROR(INDEX(Setup!$D$4:$D$28,MATCH($C831,Setup!$C$4:$C$28,0)),"CHECK"))</f>
        <v/>
      </c>
      <c r="G831" s="51">
        <f>IF($A831="","",MONTH($A831))</f>
        <v/>
      </c>
    </row>
    <row r="832">
      <c r="A832" s="53" t="n"/>
      <c r="B832" s="43" t="n"/>
      <c r="C832" s="43" t="n"/>
      <c r="D832" s="54" t="n"/>
      <c r="E832" s="55" t="n"/>
      <c r="F832" s="34">
        <f>IF($C832="","",IFERROR(INDEX(Setup!$D$4:$D$28,MATCH($C832,Setup!$C$4:$C$28,0)),"CHECK"))</f>
        <v/>
      </c>
      <c r="G832" s="56">
        <f>IF($A832="","",MONTH($A832))</f>
        <v/>
      </c>
    </row>
    <row r="833">
      <c r="A833" s="48" t="n"/>
      <c r="B833" s="39" t="n"/>
      <c r="C833" s="39" t="n"/>
      <c r="D833" s="49" t="n"/>
      <c r="E833" s="50" t="n"/>
      <c r="F833" s="33">
        <f>IF($C833="","",IFERROR(INDEX(Setup!$D$4:$D$28,MATCH($C833,Setup!$C$4:$C$28,0)),"CHECK"))</f>
        <v/>
      </c>
      <c r="G833" s="51">
        <f>IF($A833="","",MONTH($A833))</f>
        <v/>
      </c>
    </row>
    <row r="834">
      <c r="A834" s="53" t="n"/>
      <c r="B834" s="43" t="n"/>
      <c r="C834" s="43" t="n"/>
      <c r="D834" s="54" t="n"/>
      <c r="E834" s="55" t="n"/>
      <c r="F834" s="34">
        <f>IF($C834="","",IFERROR(INDEX(Setup!$D$4:$D$28,MATCH($C834,Setup!$C$4:$C$28,0)),"CHECK"))</f>
        <v/>
      </c>
      <c r="G834" s="56">
        <f>IF($A834="","",MONTH($A834))</f>
        <v/>
      </c>
    </row>
    <row r="835">
      <c r="A835" s="48" t="n"/>
      <c r="B835" s="39" t="n"/>
      <c r="C835" s="39" t="n"/>
      <c r="D835" s="49" t="n"/>
      <c r="E835" s="50" t="n"/>
      <c r="F835" s="33">
        <f>IF($C835="","",IFERROR(INDEX(Setup!$D$4:$D$28,MATCH($C835,Setup!$C$4:$C$28,0)),"CHECK"))</f>
        <v/>
      </c>
      <c r="G835" s="51">
        <f>IF($A835="","",MONTH($A835))</f>
        <v/>
      </c>
    </row>
    <row r="836">
      <c r="A836" s="53" t="n"/>
      <c r="B836" s="43" t="n"/>
      <c r="C836" s="43" t="n"/>
      <c r="D836" s="54" t="n"/>
      <c r="E836" s="55" t="n"/>
      <c r="F836" s="34">
        <f>IF($C836="","",IFERROR(INDEX(Setup!$D$4:$D$28,MATCH($C836,Setup!$C$4:$C$28,0)),"CHECK"))</f>
        <v/>
      </c>
      <c r="G836" s="56">
        <f>IF($A836="","",MONTH($A836))</f>
        <v/>
      </c>
    </row>
    <row r="837">
      <c r="A837" s="48" t="n"/>
      <c r="B837" s="39" t="n"/>
      <c r="C837" s="39" t="n"/>
      <c r="D837" s="49" t="n"/>
      <c r="E837" s="50" t="n"/>
      <c r="F837" s="33">
        <f>IF($C837="","",IFERROR(INDEX(Setup!$D$4:$D$28,MATCH($C837,Setup!$C$4:$C$28,0)),"CHECK"))</f>
        <v/>
      </c>
      <c r="G837" s="51">
        <f>IF($A837="","",MONTH($A837))</f>
        <v/>
      </c>
    </row>
    <row r="838">
      <c r="A838" s="53" t="n"/>
      <c r="B838" s="43" t="n"/>
      <c r="C838" s="43" t="n"/>
      <c r="D838" s="54" t="n"/>
      <c r="E838" s="55" t="n"/>
      <c r="F838" s="34">
        <f>IF($C838="","",IFERROR(INDEX(Setup!$D$4:$D$28,MATCH($C838,Setup!$C$4:$C$28,0)),"CHECK"))</f>
        <v/>
      </c>
      <c r="G838" s="56">
        <f>IF($A838="","",MONTH($A838))</f>
        <v/>
      </c>
    </row>
    <row r="839">
      <c r="A839" s="48" t="n"/>
      <c r="B839" s="39" t="n"/>
      <c r="C839" s="39" t="n"/>
      <c r="D839" s="49" t="n"/>
      <c r="E839" s="50" t="n"/>
      <c r="F839" s="33">
        <f>IF($C839="","",IFERROR(INDEX(Setup!$D$4:$D$28,MATCH($C839,Setup!$C$4:$C$28,0)),"CHECK"))</f>
        <v/>
      </c>
      <c r="G839" s="51">
        <f>IF($A839="","",MONTH($A839))</f>
        <v/>
      </c>
    </row>
    <row r="840">
      <c r="A840" s="53" t="n"/>
      <c r="B840" s="43" t="n"/>
      <c r="C840" s="43" t="n"/>
      <c r="D840" s="54" t="n"/>
      <c r="E840" s="55" t="n"/>
      <c r="F840" s="34">
        <f>IF($C840="","",IFERROR(INDEX(Setup!$D$4:$D$28,MATCH($C840,Setup!$C$4:$C$28,0)),"CHECK"))</f>
        <v/>
      </c>
      <c r="G840" s="56">
        <f>IF($A840="","",MONTH($A840))</f>
        <v/>
      </c>
    </row>
    <row r="841">
      <c r="A841" s="48" t="n"/>
      <c r="B841" s="39" t="n"/>
      <c r="C841" s="39" t="n"/>
      <c r="D841" s="49" t="n"/>
      <c r="E841" s="50" t="n"/>
      <c r="F841" s="33">
        <f>IF($C841="","",IFERROR(INDEX(Setup!$D$4:$D$28,MATCH($C841,Setup!$C$4:$C$28,0)),"CHECK"))</f>
        <v/>
      </c>
      <c r="G841" s="51">
        <f>IF($A841="","",MONTH($A841))</f>
        <v/>
      </c>
    </row>
    <row r="842">
      <c r="A842" s="53" t="n"/>
      <c r="B842" s="43" t="n"/>
      <c r="C842" s="43" t="n"/>
      <c r="D842" s="54" t="n"/>
      <c r="E842" s="55" t="n"/>
      <c r="F842" s="34">
        <f>IF($C842="","",IFERROR(INDEX(Setup!$D$4:$D$28,MATCH($C842,Setup!$C$4:$C$28,0)),"CHECK"))</f>
        <v/>
      </c>
      <c r="G842" s="56">
        <f>IF($A842="","",MONTH($A842))</f>
        <v/>
      </c>
    </row>
    <row r="843">
      <c r="A843" s="48" t="n"/>
      <c r="B843" s="39" t="n"/>
      <c r="C843" s="39" t="n"/>
      <c r="D843" s="49" t="n"/>
      <c r="E843" s="50" t="n"/>
      <c r="F843" s="33">
        <f>IF($C843="","",IFERROR(INDEX(Setup!$D$4:$D$28,MATCH($C843,Setup!$C$4:$C$28,0)),"CHECK"))</f>
        <v/>
      </c>
      <c r="G843" s="51">
        <f>IF($A843="","",MONTH($A843))</f>
        <v/>
      </c>
    </row>
    <row r="844">
      <c r="A844" s="53" t="n"/>
      <c r="B844" s="43" t="n"/>
      <c r="C844" s="43" t="n"/>
      <c r="D844" s="54" t="n"/>
      <c r="E844" s="55" t="n"/>
      <c r="F844" s="34">
        <f>IF($C844="","",IFERROR(INDEX(Setup!$D$4:$D$28,MATCH($C844,Setup!$C$4:$C$28,0)),"CHECK"))</f>
        <v/>
      </c>
      <c r="G844" s="56">
        <f>IF($A844="","",MONTH($A844))</f>
        <v/>
      </c>
    </row>
    <row r="845">
      <c r="A845" s="48" t="n"/>
      <c r="B845" s="39" t="n"/>
      <c r="C845" s="39" t="n"/>
      <c r="D845" s="49" t="n"/>
      <c r="E845" s="50" t="n"/>
      <c r="F845" s="33">
        <f>IF($C845="","",IFERROR(INDEX(Setup!$D$4:$D$28,MATCH($C845,Setup!$C$4:$C$28,0)),"CHECK"))</f>
        <v/>
      </c>
      <c r="G845" s="51">
        <f>IF($A845="","",MONTH($A845))</f>
        <v/>
      </c>
    </row>
    <row r="846">
      <c r="A846" s="53" t="n"/>
      <c r="B846" s="43" t="n"/>
      <c r="C846" s="43" t="n"/>
      <c r="D846" s="54" t="n"/>
      <c r="E846" s="55" t="n"/>
      <c r="F846" s="34">
        <f>IF($C846="","",IFERROR(INDEX(Setup!$D$4:$D$28,MATCH($C846,Setup!$C$4:$C$28,0)),"CHECK"))</f>
        <v/>
      </c>
      <c r="G846" s="56">
        <f>IF($A846="","",MONTH($A846))</f>
        <v/>
      </c>
    </row>
    <row r="847">
      <c r="A847" s="48" t="n"/>
      <c r="B847" s="39" t="n"/>
      <c r="C847" s="39" t="n"/>
      <c r="D847" s="49" t="n"/>
      <c r="E847" s="50" t="n"/>
      <c r="F847" s="33">
        <f>IF($C847="","",IFERROR(INDEX(Setup!$D$4:$D$28,MATCH($C847,Setup!$C$4:$C$28,0)),"CHECK"))</f>
        <v/>
      </c>
      <c r="G847" s="51">
        <f>IF($A847="","",MONTH($A847))</f>
        <v/>
      </c>
    </row>
    <row r="848">
      <c r="A848" s="53" t="n"/>
      <c r="B848" s="43" t="n"/>
      <c r="C848" s="43" t="n"/>
      <c r="D848" s="54" t="n"/>
      <c r="E848" s="55" t="n"/>
      <c r="F848" s="34">
        <f>IF($C848="","",IFERROR(INDEX(Setup!$D$4:$D$28,MATCH($C848,Setup!$C$4:$C$28,0)),"CHECK"))</f>
        <v/>
      </c>
      <c r="G848" s="56">
        <f>IF($A848="","",MONTH($A848))</f>
        <v/>
      </c>
    </row>
    <row r="849">
      <c r="A849" s="48" t="n"/>
      <c r="B849" s="39" t="n"/>
      <c r="C849" s="39" t="n"/>
      <c r="D849" s="49" t="n"/>
      <c r="E849" s="50" t="n"/>
      <c r="F849" s="33">
        <f>IF($C849="","",IFERROR(INDEX(Setup!$D$4:$D$28,MATCH($C849,Setup!$C$4:$C$28,0)),"CHECK"))</f>
        <v/>
      </c>
      <c r="G849" s="51">
        <f>IF($A849="","",MONTH($A849))</f>
        <v/>
      </c>
    </row>
    <row r="850">
      <c r="A850" s="53" t="n"/>
      <c r="B850" s="43" t="n"/>
      <c r="C850" s="43" t="n"/>
      <c r="D850" s="54" t="n"/>
      <c r="E850" s="55" t="n"/>
      <c r="F850" s="34">
        <f>IF($C850="","",IFERROR(INDEX(Setup!$D$4:$D$28,MATCH($C850,Setup!$C$4:$C$28,0)),"CHECK"))</f>
        <v/>
      </c>
      <c r="G850" s="56">
        <f>IF($A850="","",MONTH($A850))</f>
        <v/>
      </c>
    </row>
    <row r="851">
      <c r="A851" s="48" t="n"/>
      <c r="B851" s="39" t="n"/>
      <c r="C851" s="39" t="n"/>
      <c r="D851" s="49" t="n"/>
      <c r="E851" s="50" t="n"/>
      <c r="F851" s="33">
        <f>IF($C851="","",IFERROR(INDEX(Setup!$D$4:$D$28,MATCH($C851,Setup!$C$4:$C$28,0)),"CHECK"))</f>
        <v/>
      </c>
      <c r="G851" s="51">
        <f>IF($A851="","",MONTH($A851))</f>
        <v/>
      </c>
    </row>
    <row r="852">
      <c r="A852" s="53" t="n"/>
      <c r="B852" s="43" t="n"/>
      <c r="C852" s="43" t="n"/>
      <c r="D852" s="54" t="n"/>
      <c r="E852" s="55" t="n"/>
      <c r="F852" s="34">
        <f>IF($C852="","",IFERROR(INDEX(Setup!$D$4:$D$28,MATCH($C852,Setup!$C$4:$C$28,0)),"CHECK"))</f>
        <v/>
      </c>
      <c r="G852" s="56">
        <f>IF($A852="","",MONTH($A852))</f>
        <v/>
      </c>
    </row>
    <row r="853">
      <c r="A853" s="48" t="n"/>
      <c r="B853" s="39" t="n"/>
      <c r="C853" s="39" t="n"/>
      <c r="D853" s="49" t="n"/>
      <c r="E853" s="50" t="n"/>
      <c r="F853" s="33">
        <f>IF($C853="","",IFERROR(INDEX(Setup!$D$4:$D$28,MATCH($C853,Setup!$C$4:$C$28,0)),"CHECK"))</f>
        <v/>
      </c>
      <c r="G853" s="51">
        <f>IF($A853="","",MONTH($A853))</f>
        <v/>
      </c>
    </row>
    <row r="854">
      <c r="A854" s="53" t="n"/>
      <c r="B854" s="43" t="n"/>
      <c r="C854" s="43" t="n"/>
      <c r="D854" s="54" t="n"/>
      <c r="E854" s="55" t="n"/>
      <c r="F854" s="34">
        <f>IF($C854="","",IFERROR(INDEX(Setup!$D$4:$D$28,MATCH($C854,Setup!$C$4:$C$28,0)),"CHECK"))</f>
        <v/>
      </c>
      <c r="G854" s="56">
        <f>IF($A854="","",MONTH($A854))</f>
        <v/>
      </c>
    </row>
    <row r="855">
      <c r="A855" s="48" t="n"/>
      <c r="B855" s="39" t="n"/>
      <c r="C855" s="39" t="n"/>
      <c r="D855" s="49" t="n"/>
      <c r="E855" s="50" t="n"/>
      <c r="F855" s="33">
        <f>IF($C855="","",IFERROR(INDEX(Setup!$D$4:$D$28,MATCH($C855,Setup!$C$4:$C$28,0)),"CHECK"))</f>
        <v/>
      </c>
      <c r="G855" s="51">
        <f>IF($A855="","",MONTH($A855))</f>
        <v/>
      </c>
    </row>
    <row r="856">
      <c r="A856" s="53" t="n"/>
      <c r="B856" s="43" t="n"/>
      <c r="C856" s="43" t="n"/>
      <c r="D856" s="54" t="n"/>
      <c r="E856" s="55" t="n"/>
      <c r="F856" s="34">
        <f>IF($C856="","",IFERROR(INDEX(Setup!$D$4:$D$28,MATCH($C856,Setup!$C$4:$C$28,0)),"CHECK"))</f>
        <v/>
      </c>
      <c r="G856" s="56">
        <f>IF($A856="","",MONTH($A856))</f>
        <v/>
      </c>
    </row>
    <row r="857">
      <c r="A857" s="48" t="n"/>
      <c r="B857" s="39" t="n"/>
      <c r="C857" s="39" t="n"/>
      <c r="D857" s="49" t="n"/>
      <c r="E857" s="50" t="n"/>
      <c r="F857" s="33">
        <f>IF($C857="","",IFERROR(INDEX(Setup!$D$4:$D$28,MATCH($C857,Setup!$C$4:$C$28,0)),"CHECK"))</f>
        <v/>
      </c>
      <c r="G857" s="51">
        <f>IF($A857="","",MONTH($A857))</f>
        <v/>
      </c>
    </row>
    <row r="858">
      <c r="A858" s="53" t="n"/>
      <c r="B858" s="43" t="n"/>
      <c r="C858" s="43" t="n"/>
      <c r="D858" s="54" t="n"/>
      <c r="E858" s="55" t="n"/>
      <c r="F858" s="34">
        <f>IF($C858="","",IFERROR(INDEX(Setup!$D$4:$D$28,MATCH($C858,Setup!$C$4:$C$28,0)),"CHECK"))</f>
        <v/>
      </c>
      <c r="G858" s="56">
        <f>IF($A858="","",MONTH($A858))</f>
        <v/>
      </c>
    </row>
    <row r="859">
      <c r="A859" s="48" t="n"/>
      <c r="B859" s="39" t="n"/>
      <c r="C859" s="39" t="n"/>
      <c r="D859" s="49" t="n"/>
      <c r="E859" s="50" t="n"/>
      <c r="F859" s="33">
        <f>IF($C859="","",IFERROR(INDEX(Setup!$D$4:$D$28,MATCH($C859,Setup!$C$4:$C$28,0)),"CHECK"))</f>
        <v/>
      </c>
      <c r="G859" s="51">
        <f>IF($A859="","",MONTH($A859))</f>
        <v/>
      </c>
    </row>
    <row r="860">
      <c r="A860" s="53" t="n"/>
      <c r="B860" s="43" t="n"/>
      <c r="C860" s="43" t="n"/>
      <c r="D860" s="54" t="n"/>
      <c r="E860" s="55" t="n"/>
      <c r="F860" s="34">
        <f>IF($C860="","",IFERROR(INDEX(Setup!$D$4:$D$28,MATCH($C860,Setup!$C$4:$C$28,0)),"CHECK"))</f>
        <v/>
      </c>
      <c r="G860" s="56">
        <f>IF($A860="","",MONTH($A860))</f>
        <v/>
      </c>
    </row>
    <row r="861">
      <c r="A861" s="48" t="n"/>
      <c r="B861" s="39" t="n"/>
      <c r="C861" s="39" t="n"/>
      <c r="D861" s="49" t="n"/>
      <c r="E861" s="50" t="n"/>
      <c r="F861" s="33">
        <f>IF($C861="","",IFERROR(INDEX(Setup!$D$4:$D$28,MATCH($C861,Setup!$C$4:$C$28,0)),"CHECK"))</f>
        <v/>
      </c>
      <c r="G861" s="51">
        <f>IF($A861="","",MONTH($A861))</f>
        <v/>
      </c>
    </row>
    <row r="862">
      <c r="A862" s="53" t="n"/>
      <c r="B862" s="43" t="n"/>
      <c r="C862" s="43" t="n"/>
      <c r="D862" s="54" t="n"/>
      <c r="E862" s="55" t="n"/>
      <c r="F862" s="34">
        <f>IF($C862="","",IFERROR(INDEX(Setup!$D$4:$D$28,MATCH($C862,Setup!$C$4:$C$28,0)),"CHECK"))</f>
        <v/>
      </c>
      <c r="G862" s="56">
        <f>IF($A862="","",MONTH($A862))</f>
        <v/>
      </c>
    </row>
    <row r="863">
      <c r="A863" s="48" t="n"/>
      <c r="B863" s="39" t="n"/>
      <c r="C863" s="39" t="n"/>
      <c r="D863" s="49" t="n"/>
      <c r="E863" s="50" t="n"/>
      <c r="F863" s="33">
        <f>IF($C863="","",IFERROR(INDEX(Setup!$D$4:$D$28,MATCH($C863,Setup!$C$4:$C$28,0)),"CHECK"))</f>
        <v/>
      </c>
      <c r="G863" s="51">
        <f>IF($A863="","",MONTH($A863))</f>
        <v/>
      </c>
    </row>
    <row r="864">
      <c r="A864" s="53" t="n"/>
      <c r="B864" s="43" t="n"/>
      <c r="C864" s="43" t="n"/>
      <c r="D864" s="54" t="n"/>
      <c r="E864" s="55" t="n"/>
      <c r="F864" s="34">
        <f>IF($C864="","",IFERROR(INDEX(Setup!$D$4:$D$28,MATCH($C864,Setup!$C$4:$C$28,0)),"CHECK"))</f>
        <v/>
      </c>
      <c r="G864" s="56">
        <f>IF($A864="","",MONTH($A864))</f>
        <v/>
      </c>
    </row>
    <row r="865">
      <c r="A865" s="48" t="n"/>
      <c r="B865" s="39" t="n"/>
      <c r="C865" s="39" t="n"/>
      <c r="D865" s="49" t="n"/>
      <c r="E865" s="50" t="n"/>
      <c r="F865" s="33">
        <f>IF($C865="","",IFERROR(INDEX(Setup!$D$4:$D$28,MATCH($C865,Setup!$C$4:$C$28,0)),"CHECK"))</f>
        <v/>
      </c>
      <c r="G865" s="51">
        <f>IF($A865="","",MONTH($A865))</f>
        <v/>
      </c>
    </row>
    <row r="866">
      <c r="A866" s="53" t="n"/>
      <c r="B866" s="43" t="n"/>
      <c r="C866" s="43" t="n"/>
      <c r="D866" s="54" t="n"/>
      <c r="E866" s="55" t="n"/>
      <c r="F866" s="34">
        <f>IF($C866="","",IFERROR(INDEX(Setup!$D$4:$D$28,MATCH($C866,Setup!$C$4:$C$28,0)),"CHECK"))</f>
        <v/>
      </c>
      <c r="G866" s="56">
        <f>IF($A866="","",MONTH($A866))</f>
        <v/>
      </c>
    </row>
    <row r="867">
      <c r="A867" s="48" t="n"/>
      <c r="B867" s="39" t="n"/>
      <c r="C867" s="39" t="n"/>
      <c r="D867" s="49" t="n"/>
      <c r="E867" s="50" t="n"/>
      <c r="F867" s="33">
        <f>IF($C867="","",IFERROR(INDEX(Setup!$D$4:$D$28,MATCH($C867,Setup!$C$4:$C$28,0)),"CHECK"))</f>
        <v/>
      </c>
      <c r="G867" s="51">
        <f>IF($A867="","",MONTH($A867))</f>
        <v/>
      </c>
    </row>
    <row r="868">
      <c r="A868" s="53" t="n"/>
      <c r="B868" s="43" t="n"/>
      <c r="C868" s="43" t="n"/>
      <c r="D868" s="54" t="n"/>
      <c r="E868" s="55" t="n"/>
      <c r="F868" s="34">
        <f>IF($C868="","",IFERROR(INDEX(Setup!$D$4:$D$28,MATCH($C868,Setup!$C$4:$C$28,0)),"CHECK"))</f>
        <v/>
      </c>
      <c r="G868" s="56">
        <f>IF($A868="","",MONTH($A868))</f>
        <v/>
      </c>
    </row>
    <row r="869">
      <c r="A869" s="48" t="n"/>
      <c r="B869" s="39" t="n"/>
      <c r="C869" s="39" t="n"/>
      <c r="D869" s="49" t="n"/>
      <c r="E869" s="50" t="n"/>
      <c r="F869" s="33">
        <f>IF($C869="","",IFERROR(INDEX(Setup!$D$4:$D$28,MATCH($C869,Setup!$C$4:$C$28,0)),"CHECK"))</f>
        <v/>
      </c>
      <c r="G869" s="51">
        <f>IF($A869="","",MONTH($A869))</f>
        <v/>
      </c>
    </row>
    <row r="870">
      <c r="A870" s="53" t="n"/>
      <c r="B870" s="43" t="n"/>
      <c r="C870" s="43" t="n"/>
      <c r="D870" s="54" t="n"/>
      <c r="E870" s="55" t="n"/>
      <c r="F870" s="34">
        <f>IF($C870="","",IFERROR(INDEX(Setup!$D$4:$D$28,MATCH($C870,Setup!$C$4:$C$28,0)),"CHECK"))</f>
        <v/>
      </c>
      <c r="G870" s="56">
        <f>IF($A870="","",MONTH($A870))</f>
        <v/>
      </c>
    </row>
    <row r="871">
      <c r="A871" s="48" t="n"/>
      <c r="B871" s="39" t="n"/>
      <c r="C871" s="39" t="n"/>
      <c r="D871" s="49" t="n"/>
      <c r="E871" s="50" t="n"/>
      <c r="F871" s="33">
        <f>IF($C871="","",IFERROR(INDEX(Setup!$D$4:$D$28,MATCH($C871,Setup!$C$4:$C$28,0)),"CHECK"))</f>
        <v/>
      </c>
      <c r="G871" s="51">
        <f>IF($A871="","",MONTH($A871))</f>
        <v/>
      </c>
    </row>
    <row r="872">
      <c r="A872" s="53" t="n"/>
      <c r="B872" s="43" t="n"/>
      <c r="C872" s="43" t="n"/>
      <c r="D872" s="54" t="n"/>
      <c r="E872" s="55" t="n"/>
      <c r="F872" s="34">
        <f>IF($C872="","",IFERROR(INDEX(Setup!$D$4:$D$28,MATCH($C872,Setup!$C$4:$C$28,0)),"CHECK"))</f>
        <v/>
      </c>
      <c r="G872" s="56">
        <f>IF($A872="","",MONTH($A872))</f>
        <v/>
      </c>
    </row>
    <row r="873">
      <c r="A873" s="48" t="n"/>
      <c r="B873" s="39" t="n"/>
      <c r="C873" s="39" t="n"/>
      <c r="D873" s="49" t="n"/>
      <c r="E873" s="50" t="n"/>
      <c r="F873" s="33">
        <f>IF($C873="","",IFERROR(INDEX(Setup!$D$4:$D$28,MATCH($C873,Setup!$C$4:$C$28,0)),"CHECK"))</f>
        <v/>
      </c>
      <c r="G873" s="51">
        <f>IF($A873="","",MONTH($A873))</f>
        <v/>
      </c>
    </row>
    <row r="874">
      <c r="A874" s="53" t="n"/>
      <c r="B874" s="43" t="n"/>
      <c r="C874" s="43" t="n"/>
      <c r="D874" s="54" t="n"/>
      <c r="E874" s="55" t="n"/>
      <c r="F874" s="34">
        <f>IF($C874="","",IFERROR(INDEX(Setup!$D$4:$D$28,MATCH($C874,Setup!$C$4:$C$28,0)),"CHECK"))</f>
        <v/>
      </c>
      <c r="G874" s="56">
        <f>IF($A874="","",MONTH($A874))</f>
        <v/>
      </c>
    </row>
    <row r="875">
      <c r="A875" s="48" t="n"/>
      <c r="B875" s="39" t="n"/>
      <c r="C875" s="39" t="n"/>
      <c r="D875" s="49" t="n"/>
      <c r="E875" s="50" t="n"/>
      <c r="F875" s="33">
        <f>IF($C875="","",IFERROR(INDEX(Setup!$D$4:$D$28,MATCH($C875,Setup!$C$4:$C$28,0)),"CHECK"))</f>
        <v/>
      </c>
      <c r="G875" s="51">
        <f>IF($A875="","",MONTH($A875))</f>
        <v/>
      </c>
    </row>
    <row r="876">
      <c r="A876" s="53" t="n"/>
      <c r="B876" s="43" t="n"/>
      <c r="C876" s="43" t="n"/>
      <c r="D876" s="54" t="n"/>
      <c r="E876" s="55" t="n"/>
      <c r="F876" s="34">
        <f>IF($C876="","",IFERROR(INDEX(Setup!$D$4:$D$28,MATCH($C876,Setup!$C$4:$C$28,0)),"CHECK"))</f>
        <v/>
      </c>
      <c r="G876" s="56">
        <f>IF($A876="","",MONTH($A876))</f>
        <v/>
      </c>
    </row>
    <row r="877">
      <c r="A877" s="48" t="n"/>
      <c r="B877" s="39" t="n"/>
      <c r="C877" s="39" t="n"/>
      <c r="D877" s="49" t="n"/>
      <c r="E877" s="50" t="n"/>
      <c r="F877" s="33">
        <f>IF($C877="","",IFERROR(INDEX(Setup!$D$4:$D$28,MATCH($C877,Setup!$C$4:$C$28,0)),"CHECK"))</f>
        <v/>
      </c>
      <c r="G877" s="51">
        <f>IF($A877="","",MONTH($A877))</f>
        <v/>
      </c>
    </row>
    <row r="878">
      <c r="A878" s="53" t="n"/>
      <c r="B878" s="43" t="n"/>
      <c r="C878" s="43" t="n"/>
      <c r="D878" s="54" t="n"/>
      <c r="E878" s="55" t="n"/>
      <c r="F878" s="34">
        <f>IF($C878="","",IFERROR(INDEX(Setup!$D$4:$D$28,MATCH($C878,Setup!$C$4:$C$28,0)),"CHECK"))</f>
        <v/>
      </c>
      <c r="G878" s="56">
        <f>IF($A878="","",MONTH($A878))</f>
        <v/>
      </c>
    </row>
    <row r="879">
      <c r="A879" s="48" t="n"/>
      <c r="B879" s="39" t="n"/>
      <c r="C879" s="39" t="n"/>
      <c r="D879" s="49" t="n"/>
      <c r="E879" s="50" t="n"/>
      <c r="F879" s="33">
        <f>IF($C879="","",IFERROR(INDEX(Setup!$D$4:$D$28,MATCH($C879,Setup!$C$4:$C$28,0)),"CHECK"))</f>
        <v/>
      </c>
      <c r="G879" s="51">
        <f>IF($A879="","",MONTH($A879))</f>
        <v/>
      </c>
    </row>
    <row r="880">
      <c r="A880" s="53" t="n"/>
      <c r="B880" s="43" t="n"/>
      <c r="C880" s="43" t="n"/>
      <c r="D880" s="54" t="n"/>
      <c r="E880" s="55" t="n"/>
      <c r="F880" s="34">
        <f>IF($C880="","",IFERROR(INDEX(Setup!$D$4:$D$28,MATCH($C880,Setup!$C$4:$C$28,0)),"CHECK"))</f>
        <v/>
      </c>
      <c r="G880" s="56">
        <f>IF($A880="","",MONTH($A880))</f>
        <v/>
      </c>
    </row>
    <row r="881">
      <c r="A881" s="48" t="n"/>
      <c r="B881" s="39" t="n"/>
      <c r="C881" s="39" t="n"/>
      <c r="D881" s="49" t="n"/>
      <c r="E881" s="50" t="n"/>
      <c r="F881" s="33">
        <f>IF($C881="","",IFERROR(INDEX(Setup!$D$4:$D$28,MATCH($C881,Setup!$C$4:$C$28,0)),"CHECK"))</f>
        <v/>
      </c>
      <c r="G881" s="51">
        <f>IF($A881="","",MONTH($A881))</f>
        <v/>
      </c>
    </row>
    <row r="882">
      <c r="A882" s="53" t="n"/>
      <c r="B882" s="43" t="n"/>
      <c r="C882" s="43" t="n"/>
      <c r="D882" s="54" t="n"/>
      <c r="E882" s="55" t="n"/>
      <c r="F882" s="34">
        <f>IF($C882="","",IFERROR(INDEX(Setup!$D$4:$D$28,MATCH($C882,Setup!$C$4:$C$28,0)),"CHECK"))</f>
        <v/>
      </c>
      <c r="G882" s="56">
        <f>IF($A882="","",MONTH($A882))</f>
        <v/>
      </c>
    </row>
    <row r="883">
      <c r="A883" s="48" t="n"/>
      <c r="B883" s="39" t="n"/>
      <c r="C883" s="39" t="n"/>
      <c r="D883" s="49" t="n"/>
      <c r="E883" s="50" t="n"/>
      <c r="F883" s="33">
        <f>IF($C883="","",IFERROR(INDEX(Setup!$D$4:$D$28,MATCH($C883,Setup!$C$4:$C$28,0)),"CHECK"))</f>
        <v/>
      </c>
      <c r="G883" s="51">
        <f>IF($A883="","",MONTH($A883))</f>
        <v/>
      </c>
    </row>
    <row r="884">
      <c r="A884" s="53" t="n"/>
      <c r="B884" s="43" t="n"/>
      <c r="C884" s="43" t="n"/>
      <c r="D884" s="54" t="n"/>
      <c r="E884" s="55" t="n"/>
      <c r="F884" s="34">
        <f>IF($C884="","",IFERROR(INDEX(Setup!$D$4:$D$28,MATCH($C884,Setup!$C$4:$C$28,0)),"CHECK"))</f>
        <v/>
      </c>
      <c r="G884" s="56">
        <f>IF($A884="","",MONTH($A884))</f>
        <v/>
      </c>
    </row>
    <row r="885">
      <c r="A885" s="48" t="n"/>
      <c r="B885" s="39" t="n"/>
      <c r="C885" s="39" t="n"/>
      <c r="D885" s="49" t="n"/>
      <c r="E885" s="50" t="n"/>
      <c r="F885" s="33">
        <f>IF($C885="","",IFERROR(INDEX(Setup!$D$4:$D$28,MATCH($C885,Setup!$C$4:$C$28,0)),"CHECK"))</f>
        <v/>
      </c>
      <c r="G885" s="51">
        <f>IF($A885="","",MONTH($A885))</f>
        <v/>
      </c>
    </row>
    <row r="886">
      <c r="A886" s="53" t="n"/>
      <c r="B886" s="43" t="n"/>
      <c r="C886" s="43" t="n"/>
      <c r="D886" s="54" t="n"/>
      <c r="E886" s="55" t="n"/>
      <c r="F886" s="34">
        <f>IF($C886="","",IFERROR(INDEX(Setup!$D$4:$D$28,MATCH($C886,Setup!$C$4:$C$28,0)),"CHECK"))</f>
        <v/>
      </c>
      <c r="G886" s="56">
        <f>IF($A886="","",MONTH($A886))</f>
        <v/>
      </c>
    </row>
    <row r="887">
      <c r="A887" s="48" t="n"/>
      <c r="B887" s="39" t="n"/>
      <c r="C887" s="39" t="n"/>
      <c r="D887" s="49" t="n"/>
      <c r="E887" s="50" t="n"/>
      <c r="F887" s="33">
        <f>IF($C887="","",IFERROR(INDEX(Setup!$D$4:$D$28,MATCH($C887,Setup!$C$4:$C$28,0)),"CHECK"))</f>
        <v/>
      </c>
      <c r="G887" s="51">
        <f>IF($A887="","",MONTH($A887))</f>
        <v/>
      </c>
    </row>
    <row r="888">
      <c r="A888" s="53" t="n"/>
      <c r="B888" s="43" t="n"/>
      <c r="C888" s="43" t="n"/>
      <c r="D888" s="54" t="n"/>
      <c r="E888" s="55" t="n"/>
      <c r="F888" s="34">
        <f>IF($C888="","",IFERROR(INDEX(Setup!$D$4:$D$28,MATCH($C888,Setup!$C$4:$C$28,0)),"CHECK"))</f>
        <v/>
      </c>
      <c r="G888" s="56">
        <f>IF($A888="","",MONTH($A888))</f>
        <v/>
      </c>
    </row>
    <row r="889">
      <c r="A889" s="48" t="n"/>
      <c r="B889" s="39" t="n"/>
      <c r="C889" s="39" t="n"/>
      <c r="D889" s="49" t="n"/>
      <c r="E889" s="50" t="n"/>
      <c r="F889" s="33">
        <f>IF($C889="","",IFERROR(INDEX(Setup!$D$4:$D$28,MATCH($C889,Setup!$C$4:$C$28,0)),"CHECK"))</f>
        <v/>
      </c>
      <c r="G889" s="51">
        <f>IF($A889="","",MONTH($A889))</f>
        <v/>
      </c>
    </row>
    <row r="890">
      <c r="A890" s="53" t="n"/>
      <c r="B890" s="43" t="n"/>
      <c r="C890" s="43" t="n"/>
      <c r="D890" s="54" t="n"/>
      <c r="E890" s="55" t="n"/>
      <c r="F890" s="34">
        <f>IF($C890="","",IFERROR(INDEX(Setup!$D$4:$D$28,MATCH($C890,Setup!$C$4:$C$28,0)),"CHECK"))</f>
        <v/>
      </c>
      <c r="G890" s="56">
        <f>IF($A890="","",MONTH($A890))</f>
        <v/>
      </c>
    </row>
    <row r="891">
      <c r="A891" s="48" t="n"/>
      <c r="B891" s="39" t="n"/>
      <c r="C891" s="39" t="n"/>
      <c r="D891" s="49" t="n"/>
      <c r="E891" s="50" t="n"/>
      <c r="F891" s="33">
        <f>IF($C891="","",IFERROR(INDEX(Setup!$D$4:$D$28,MATCH($C891,Setup!$C$4:$C$28,0)),"CHECK"))</f>
        <v/>
      </c>
      <c r="G891" s="51">
        <f>IF($A891="","",MONTH($A891))</f>
        <v/>
      </c>
    </row>
    <row r="892">
      <c r="A892" s="53" t="n"/>
      <c r="B892" s="43" t="n"/>
      <c r="C892" s="43" t="n"/>
      <c r="D892" s="54" t="n"/>
      <c r="E892" s="55" t="n"/>
      <c r="F892" s="34">
        <f>IF($C892="","",IFERROR(INDEX(Setup!$D$4:$D$28,MATCH($C892,Setup!$C$4:$C$28,0)),"CHECK"))</f>
        <v/>
      </c>
      <c r="G892" s="56">
        <f>IF($A892="","",MONTH($A892))</f>
        <v/>
      </c>
    </row>
    <row r="893">
      <c r="A893" s="48" t="n"/>
      <c r="B893" s="39" t="n"/>
      <c r="C893" s="39" t="n"/>
      <c r="D893" s="49" t="n"/>
      <c r="E893" s="50" t="n"/>
      <c r="F893" s="33">
        <f>IF($C893="","",IFERROR(INDEX(Setup!$D$4:$D$28,MATCH($C893,Setup!$C$4:$C$28,0)),"CHECK"))</f>
        <v/>
      </c>
      <c r="G893" s="51">
        <f>IF($A893="","",MONTH($A893))</f>
        <v/>
      </c>
    </row>
    <row r="894">
      <c r="A894" s="53" t="n"/>
      <c r="B894" s="43" t="n"/>
      <c r="C894" s="43" t="n"/>
      <c r="D894" s="54" t="n"/>
      <c r="E894" s="55" t="n"/>
      <c r="F894" s="34">
        <f>IF($C894="","",IFERROR(INDEX(Setup!$D$4:$D$28,MATCH($C894,Setup!$C$4:$C$28,0)),"CHECK"))</f>
        <v/>
      </c>
      <c r="G894" s="56">
        <f>IF($A894="","",MONTH($A894))</f>
        <v/>
      </c>
    </row>
    <row r="895">
      <c r="A895" s="48" t="n"/>
      <c r="B895" s="39" t="n"/>
      <c r="C895" s="39" t="n"/>
      <c r="D895" s="49" t="n"/>
      <c r="E895" s="50" t="n"/>
      <c r="F895" s="33">
        <f>IF($C895="","",IFERROR(INDEX(Setup!$D$4:$D$28,MATCH($C895,Setup!$C$4:$C$28,0)),"CHECK"))</f>
        <v/>
      </c>
      <c r="G895" s="51">
        <f>IF($A895="","",MONTH($A895))</f>
        <v/>
      </c>
    </row>
    <row r="896">
      <c r="A896" s="53" t="n"/>
      <c r="B896" s="43" t="n"/>
      <c r="C896" s="43" t="n"/>
      <c r="D896" s="54" t="n"/>
      <c r="E896" s="55" t="n"/>
      <c r="F896" s="34">
        <f>IF($C896="","",IFERROR(INDEX(Setup!$D$4:$D$28,MATCH($C896,Setup!$C$4:$C$28,0)),"CHECK"))</f>
        <v/>
      </c>
      <c r="G896" s="56">
        <f>IF($A896="","",MONTH($A896))</f>
        <v/>
      </c>
    </row>
    <row r="897">
      <c r="A897" s="48" t="n"/>
      <c r="B897" s="39" t="n"/>
      <c r="C897" s="39" t="n"/>
      <c r="D897" s="49" t="n"/>
      <c r="E897" s="50" t="n"/>
      <c r="F897" s="33">
        <f>IF($C897="","",IFERROR(INDEX(Setup!$D$4:$D$28,MATCH($C897,Setup!$C$4:$C$28,0)),"CHECK"))</f>
        <v/>
      </c>
      <c r="G897" s="51">
        <f>IF($A897="","",MONTH($A897))</f>
        <v/>
      </c>
    </row>
    <row r="898">
      <c r="A898" s="53" t="n"/>
      <c r="B898" s="43" t="n"/>
      <c r="C898" s="43" t="n"/>
      <c r="D898" s="54" t="n"/>
      <c r="E898" s="55" t="n"/>
      <c r="F898" s="34">
        <f>IF($C898="","",IFERROR(INDEX(Setup!$D$4:$D$28,MATCH($C898,Setup!$C$4:$C$28,0)),"CHECK"))</f>
        <v/>
      </c>
      <c r="G898" s="56">
        <f>IF($A898="","",MONTH($A898))</f>
        <v/>
      </c>
    </row>
    <row r="899">
      <c r="A899" s="48" t="n"/>
      <c r="B899" s="39" t="n"/>
      <c r="C899" s="39" t="n"/>
      <c r="D899" s="49" t="n"/>
      <c r="E899" s="50" t="n"/>
      <c r="F899" s="33">
        <f>IF($C899="","",IFERROR(INDEX(Setup!$D$4:$D$28,MATCH($C899,Setup!$C$4:$C$28,0)),"CHECK"))</f>
        <v/>
      </c>
      <c r="G899" s="51">
        <f>IF($A899="","",MONTH($A899))</f>
        <v/>
      </c>
    </row>
    <row r="900">
      <c r="A900" s="53" t="n"/>
      <c r="B900" s="43" t="n"/>
      <c r="C900" s="43" t="n"/>
      <c r="D900" s="54" t="n"/>
      <c r="E900" s="55" t="n"/>
      <c r="F900" s="34">
        <f>IF($C900="","",IFERROR(INDEX(Setup!$D$4:$D$28,MATCH($C900,Setup!$C$4:$C$28,0)),"CHECK"))</f>
        <v/>
      </c>
      <c r="G900" s="56">
        <f>IF($A900="","",MONTH($A900))</f>
        <v/>
      </c>
    </row>
    <row r="901">
      <c r="A901" s="48" t="n"/>
      <c r="B901" s="39" t="n"/>
      <c r="C901" s="39" t="n"/>
      <c r="D901" s="49" t="n"/>
      <c r="E901" s="50" t="n"/>
      <c r="F901" s="33">
        <f>IF($C901="","",IFERROR(INDEX(Setup!$D$4:$D$28,MATCH($C901,Setup!$C$4:$C$28,0)),"CHECK"))</f>
        <v/>
      </c>
      <c r="G901" s="51">
        <f>IF($A901="","",MONTH($A901))</f>
        <v/>
      </c>
    </row>
    <row r="902">
      <c r="A902" s="53" t="n"/>
      <c r="B902" s="43" t="n"/>
      <c r="C902" s="43" t="n"/>
      <c r="D902" s="54" t="n"/>
      <c r="E902" s="55" t="n"/>
      <c r="F902" s="34">
        <f>IF($C902="","",IFERROR(INDEX(Setup!$D$4:$D$28,MATCH($C902,Setup!$C$4:$C$28,0)),"CHECK"))</f>
        <v/>
      </c>
      <c r="G902" s="56">
        <f>IF($A902="","",MONTH($A902))</f>
        <v/>
      </c>
    </row>
    <row r="903">
      <c r="A903" s="48" t="n"/>
      <c r="B903" s="39" t="n"/>
      <c r="C903" s="39" t="n"/>
      <c r="D903" s="49" t="n"/>
      <c r="E903" s="50" t="n"/>
      <c r="F903" s="33">
        <f>IF($C903="","",IFERROR(INDEX(Setup!$D$4:$D$28,MATCH($C903,Setup!$C$4:$C$28,0)),"CHECK"))</f>
        <v/>
      </c>
      <c r="G903" s="51">
        <f>IF($A903="","",MONTH($A903))</f>
        <v/>
      </c>
    </row>
    <row r="904">
      <c r="A904" s="53" t="n"/>
      <c r="B904" s="43" t="n"/>
      <c r="C904" s="43" t="n"/>
      <c r="D904" s="54" t="n"/>
      <c r="E904" s="55" t="n"/>
      <c r="F904" s="34">
        <f>IF($C904="","",IFERROR(INDEX(Setup!$D$4:$D$28,MATCH($C904,Setup!$C$4:$C$28,0)),"CHECK"))</f>
        <v/>
      </c>
      <c r="G904" s="56">
        <f>IF($A904="","",MONTH($A904))</f>
        <v/>
      </c>
    </row>
    <row r="905">
      <c r="A905" s="48" t="n"/>
      <c r="B905" s="39" t="n"/>
      <c r="C905" s="39" t="n"/>
      <c r="D905" s="49" t="n"/>
      <c r="E905" s="50" t="n"/>
      <c r="F905" s="33">
        <f>IF($C905="","",IFERROR(INDEX(Setup!$D$4:$D$28,MATCH($C905,Setup!$C$4:$C$28,0)),"CHECK"))</f>
        <v/>
      </c>
      <c r="G905" s="51">
        <f>IF($A905="","",MONTH($A905))</f>
        <v/>
      </c>
    </row>
    <row r="906">
      <c r="A906" s="53" t="n"/>
      <c r="B906" s="43" t="n"/>
      <c r="C906" s="43" t="n"/>
      <c r="D906" s="54" t="n"/>
      <c r="E906" s="55" t="n"/>
      <c r="F906" s="34">
        <f>IF($C906="","",IFERROR(INDEX(Setup!$D$4:$D$28,MATCH($C906,Setup!$C$4:$C$28,0)),"CHECK"))</f>
        <v/>
      </c>
      <c r="G906" s="56">
        <f>IF($A906="","",MONTH($A906))</f>
        <v/>
      </c>
    </row>
    <row r="907">
      <c r="A907" s="48" t="n"/>
      <c r="B907" s="39" t="n"/>
      <c r="C907" s="39" t="n"/>
      <c r="D907" s="49" t="n"/>
      <c r="E907" s="50" t="n"/>
      <c r="F907" s="33">
        <f>IF($C907="","",IFERROR(INDEX(Setup!$D$4:$D$28,MATCH($C907,Setup!$C$4:$C$28,0)),"CHECK"))</f>
        <v/>
      </c>
      <c r="G907" s="51">
        <f>IF($A907="","",MONTH($A907))</f>
        <v/>
      </c>
    </row>
    <row r="908">
      <c r="A908" s="53" t="n"/>
      <c r="B908" s="43" t="n"/>
      <c r="C908" s="43" t="n"/>
      <c r="D908" s="54" t="n"/>
      <c r="E908" s="55" t="n"/>
      <c r="F908" s="34">
        <f>IF($C908="","",IFERROR(INDEX(Setup!$D$4:$D$28,MATCH($C908,Setup!$C$4:$C$28,0)),"CHECK"))</f>
        <v/>
      </c>
      <c r="G908" s="56">
        <f>IF($A908="","",MONTH($A908))</f>
        <v/>
      </c>
    </row>
    <row r="909">
      <c r="A909" s="48" t="n"/>
      <c r="B909" s="39" t="n"/>
      <c r="C909" s="39" t="n"/>
      <c r="D909" s="49" t="n"/>
      <c r="E909" s="50" t="n"/>
      <c r="F909" s="33">
        <f>IF($C909="","",IFERROR(INDEX(Setup!$D$4:$D$28,MATCH($C909,Setup!$C$4:$C$28,0)),"CHECK"))</f>
        <v/>
      </c>
      <c r="G909" s="51">
        <f>IF($A909="","",MONTH($A909))</f>
        <v/>
      </c>
    </row>
    <row r="910">
      <c r="A910" s="53" t="n"/>
      <c r="B910" s="43" t="n"/>
      <c r="C910" s="43" t="n"/>
      <c r="D910" s="54" t="n"/>
      <c r="E910" s="55" t="n"/>
      <c r="F910" s="34">
        <f>IF($C910="","",IFERROR(INDEX(Setup!$D$4:$D$28,MATCH($C910,Setup!$C$4:$C$28,0)),"CHECK"))</f>
        <v/>
      </c>
      <c r="G910" s="56">
        <f>IF($A910="","",MONTH($A910))</f>
        <v/>
      </c>
    </row>
    <row r="911">
      <c r="A911" s="48" t="n"/>
      <c r="B911" s="39" t="n"/>
      <c r="C911" s="39" t="n"/>
      <c r="D911" s="49" t="n"/>
      <c r="E911" s="50" t="n"/>
      <c r="F911" s="33">
        <f>IF($C911="","",IFERROR(INDEX(Setup!$D$4:$D$28,MATCH($C911,Setup!$C$4:$C$28,0)),"CHECK"))</f>
        <v/>
      </c>
      <c r="G911" s="51">
        <f>IF($A911="","",MONTH($A911))</f>
        <v/>
      </c>
    </row>
    <row r="912">
      <c r="A912" s="53" t="n"/>
      <c r="B912" s="43" t="n"/>
      <c r="C912" s="43" t="n"/>
      <c r="D912" s="54" t="n"/>
      <c r="E912" s="55" t="n"/>
      <c r="F912" s="34">
        <f>IF($C912="","",IFERROR(INDEX(Setup!$D$4:$D$28,MATCH($C912,Setup!$C$4:$C$28,0)),"CHECK"))</f>
        <v/>
      </c>
      <c r="G912" s="56">
        <f>IF($A912="","",MONTH($A912))</f>
        <v/>
      </c>
    </row>
    <row r="913">
      <c r="A913" s="48" t="n"/>
      <c r="B913" s="39" t="n"/>
      <c r="C913" s="39" t="n"/>
      <c r="D913" s="49" t="n"/>
      <c r="E913" s="50" t="n"/>
      <c r="F913" s="33">
        <f>IF($C913="","",IFERROR(INDEX(Setup!$D$4:$D$28,MATCH($C913,Setup!$C$4:$C$28,0)),"CHECK"))</f>
        <v/>
      </c>
      <c r="G913" s="51">
        <f>IF($A913="","",MONTH($A913))</f>
        <v/>
      </c>
    </row>
    <row r="914">
      <c r="A914" s="53" t="n"/>
      <c r="B914" s="43" t="n"/>
      <c r="C914" s="43" t="n"/>
      <c r="D914" s="54" t="n"/>
      <c r="E914" s="55" t="n"/>
      <c r="F914" s="34">
        <f>IF($C914="","",IFERROR(INDEX(Setup!$D$4:$D$28,MATCH($C914,Setup!$C$4:$C$28,0)),"CHECK"))</f>
        <v/>
      </c>
      <c r="G914" s="56">
        <f>IF($A914="","",MONTH($A914))</f>
        <v/>
      </c>
    </row>
    <row r="915">
      <c r="A915" s="48" t="n"/>
      <c r="B915" s="39" t="n"/>
      <c r="C915" s="39" t="n"/>
      <c r="D915" s="49" t="n"/>
      <c r="E915" s="50" t="n"/>
      <c r="F915" s="33">
        <f>IF($C915="","",IFERROR(INDEX(Setup!$D$4:$D$28,MATCH($C915,Setup!$C$4:$C$28,0)),"CHECK"))</f>
        <v/>
      </c>
      <c r="G915" s="51">
        <f>IF($A915="","",MONTH($A915))</f>
        <v/>
      </c>
    </row>
    <row r="916">
      <c r="A916" s="53" t="n"/>
      <c r="B916" s="43" t="n"/>
      <c r="C916" s="43" t="n"/>
      <c r="D916" s="54" t="n"/>
      <c r="E916" s="55" t="n"/>
      <c r="F916" s="34">
        <f>IF($C916="","",IFERROR(INDEX(Setup!$D$4:$D$28,MATCH($C916,Setup!$C$4:$C$28,0)),"CHECK"))</f>
        <v/>
      </c>
      <c r="G916" s="56">
        <f>IF($A916="","",MONTH($A916))</f>
        <v/>
      </c>
    </row>
    <row r="917">
      <c r="A917" s="48" t="n"/>
      <c r="B917" s="39" t="n"/>
      <c r="C917" s="39" t="n"/>
      <c r="D917" s="49" t="n"/>
      <c r="E917" s="50" t="n"/>
      <c r="F917" s="33">
        <f>IF($C917="","",IFERROR(INDEX(Setup!$D$4:$D$28,MATCH($C917,Setup!$C$4:$C$28,0)),"CHECK"))</f>
        <v/>
      </c>
      <c r="G917" s="51">
        <f>IF($A917="","",MONTH($A917))</f>
        <v/>
      </c>
    </row>
    <row r="918">
      <c r="A918" s="53" t="n"/>
      <c r="B918" s="43" t="n"/>
      <c r="C918" s="43" t="n"/>
      <c r="D918" s="54" t="n"/>
      <c r="E918" s="55" t="n"/>
      <c r="F918" s="34">
        <f>IF($C918="","",IFERROR(INDEX(Setup!$D$4:$D$28,MATCH($C918,Setup!$C$4:$C$28,0)),"CHECK"))</f>
        <v/>
      </c>
      <c r="G918" s="56">
        <f>IF($A918="","",MONTH($A918))</f>
        <v/>
      </c>
    </row>
    <row r="919">
      <c r="A919" s="48" t="n"/>
      <c r="B919" s="39" t="n"/>
      <c r="C919" s="39" t="n"/>
      <c r="D919" s="49" t="n"/>
      <c r="E919" s="50" t="n"/>
      <c r="F919" s="33">
        <f>IF($C919="","",IFERROR(INDEX(Setup!$D$4:$D$28,MATCH($C919,Setup!$C$4:$C$28,0)),"CHECK"))</f>
        <v/>
      </c>
      <c r="G919" s="51">
        <f>IF($A919="","",MONTH($A919))</f>
        <v/>
      </c>
    </row>
    <row r="920">
      <c r="A920" s="53" t="n"/>
      <c r="B920" s="43" t="n"/>
      <c r="C920" s="43" t="n"/>
      <c r="D920" s="54" t="n"/>
      <c r="E920" s="55" t="n"/>
      <c r="F920" s="34">
        <f>IF($C920="","",IFERROR(INDEX(Setup!$D$4:$D$28,MATCH($C920,Setup!$C$4:$C$28,0)),"CHECK"))</f>
        <v/>
      </c>
      <c r="G920" s="56">
        <f>IF($A920="","",MONTH($A920))</f>
        <v/>
      </c>
    </row>
    <row r="921">
      <c r="A921" s="48" t="n"/>
      <c r="B921" s="39" t="n"/>
      <c r="C921" s="39" t="n"/>
      <c r="D921" s="49" t="n"/>
      <c r="E921" s="50" t="n"/>
      <c r="F921" s="33">
        <f>IF($C921="","",IFERROR(INDEX(Setup!$D$4:$D$28,MATCH($C921,Setup!$C$4:$C$28,0)),"CHECK"))</f>
        <v/>
      </c>
      <c r="G921" s="51">
        <f>IF($A921="","",MONTH($A921))</f>
        <v/>
      </c>
    </row>
    <row r="922">
      <c r="A922" s="53" t="n"/>
      <c r="B922" s="43" t="n"/>
      <c r="C922" s="43" t="n"/>
      <c r="D922" s="54" t="n"/>
      <c r="E922" s="55" t="n"/>
      <c r="F922" s="34">
        <f>IF($C922="","",IFERROR(INDEX(Setup!$D$4:$D$28,MATCH($C922,Setup!$C$4:$C$28,0)),"CHECK"))</f>
        <v/>
      </c>
      <c r="G922" s="56">
        <f>IF($A922="","",MONTH($A922))</f>
        <v/>
      </c>
    </row>
    <row r="923">
      <c r="A923" s="48" t="n"/>
      <c r="B923" s="39" t="n"/>
      <c r="C923" s="39" t="n"/>
      <c r="D923" s="49" t="n"/>
      <c r="E923" s="50" t="n"/>
      <c r="F923" s="33">
        <f>IF($C923="","",IFERROR(INDEX(Setup!$D$4:$D$28,MATCH($C923,Setup!$C$4:$C$28,0)),"CHECK"))</f>
        <v/>
      </c>
      <c r="G923" s="51">
        <f>IF($A923="","",MONTH($A923))</f>
        <v/>
      </c>
    </row>
    <row r="924">
      <c r="A924" s="53" t="n"/>
      <c r="B924" s="43" t="n"/>
      <c r="C924" s="43" t="n"/>
      <c r="D924" s="54" t="n"/>
      <c r="E924" s="55" t="n"/>
      <c r="F924" s="34">
        <f>IF($C924="","",IFERROR(INDEX(Setup!$D$4:$D$28,MATCH($C924,Setup!$C$4:$C$28,0)),"CHECK"))</f>
        <v/>
      </c>
      <c r="G924" s="56">
        <f>IF($A924="","",MONTH($A924))</f>
        <v/>
      </c>
    </row>
    <row r="925">
      <c r="A925" s="48" t="n"/>
      <c r="B925" s="39" t="n"/>
      <c r="C925" s="39" t="n"/>
      <c r="D925" s="49" t="n"/>
      <c r="E925" s="50" t="n"/>
      <c r="F925" s="33">
        <f>IF($C925="","",IFERROR(INDEX(Setup!$D$4:$D$28,MATCH($C925,Setup!$C$4:$C$28,0)),"CHECK"))</f>
        <v/>
      </c>
      <c r="G925" s="51">
        <f>IF($A925="","",MONTH($A925))</f>
        <v/>
      </c>
    </row>
    <row r="926">
      <c r="A926" s="53" t="n"/>
      <c r="B926" s="43" t="n"/>
      <c r="C926" s="43" t="n"/>
      <c r="D926" s="54" t="n"/>
      <c r="E926" s="55" t="n"/>
      <c r="F926" s="34">
        <f>IF($C926="","",IFERROR(INDEX(Setup!$D$4:$D$28,MATCH($C926,Setup!$C$4:$C$28,0)),"CHECK"))</f>
        <v/>
      </c>
      <c r="G926" s="56">
        <f>IF($A926="","",MONTH($A926))</f>
        <v/>
      </c>
    </row>
    <row r="927">
      <c r="A927" s="48" t="n"/>
      <c r="B927" s="39" t="n"/>
      <c r="C927" s="39" t="n"/>
      <c r="D927" s="49" t="n"/>
      <c r="E927" s="50" t="n"/>
      <c r="F927" s="33">
        <f>IF($C927="","",IFERROR(INDEX(Setup!$D$4:$D$28,MATCH($C927,Setup!$C$4:$C$28,0)),"CHECK"))</f>
        <v/>
      </c>
      <c r="G927" s="51">
        <f>IF($A927="","",MONTH($A927))</f>
        <v/>
      </c>
    </row>
    <row r="928">
      <c r="A928" s="53" t="n"/>
      <c r="B928" s="43" t="n"/>
      <c r="C928" s="43" t="n"/>
      <c r="D928" s="54" t="n"/>
      <c r="E928" s="55" t="n"/>
      <c r="F928" s="34">
        <f>IF($C928="","",IFERROR(INDEX(Setup!$D$4:$D$28,MATCH($C928,Setup!$C$4:$C$28,0)),"CHECK"))</f>
        <v/>
      </c>
      <c r="G928" s="56">
        <f>IF($A928="","",MONTH($A928))</f>
        <v/>
      </c>
    </row>
    <row r="929">
      <c r="A929" s="48" t="n"/>
      <c r="B929" s="39" t="n"/>
      <c r="C929" s="39" t="n"/>
      <c r="D929" s="49" t="n"/>
      <c r="E929" s="50" t="n"/>
      <c r="F929" s="33">
        <f>IF($C929="","",IFERROR(INDEX(Setup!$D$4:$D$28,MATCH($C929,Setup!$C$4:$C$28,0)),"CHECK"))</f>
        <v/>
      </c>
      <c r="G929" s="51">
        <f>IF($A929="","",MONTH($A929))</f>
        <v/>
      </c>
    </row>
    <row r="930">
      <c r="A930" s="53" t="n"/>
      <c r="B930" s="43" t="n"/>
      <c r="C930" s="43" t="n"/>
      <c r="D930" s="54" t="n"/>
      <c r="E930" s="55" t="n"/>
      <c r="F930" s="34">
        <f>IF($C930="","",IFERROR(INDEX(Setup!$D$4:$D$28,MATCH($C930,Setup!$C$4:$C$28,0)),"CHECK"))</f>
        <v/>
      </c>
      <c r="G930" s="56">
        <f>IF($A930="","",MONTH($A930))</f>
        <v/>
      </c>
    </row>
    <row r="931">
      <c r="A931" s="48" t="n"/>
      <c r="B931" s="39" t="n"/>
      <c r="C931" s="39" t="n"/>
      <c r="D931" s="49" t="n"/>
      <c r="E931" s="50" t="n"/>
      <c r="F931" s="33">
        <f>IF($C931="","",IFERROR(INDEX(Setup!$D$4:$D$28,MATCH($C931,Setup!$C$4:$C$28,0)),"CHECK"))</f>
        <v/>
      </c>
      <c r="G931" s="51">
        <f>IF($A931="","",MONTH($A931))</f>
        <v/>
      </c>
    </row>
    <row r="932">
      <c r="A932" s="53" t="n"/>
      <c r="B932" s="43" t="n"/>
      <c r="C932" s="43" t="n"/>
      <c r="D932" s="54" t="n"/>
      <c r="E932" s="55" t="n"/>
      <c r="F932" s="34">
        <f>IF($C932="","",IFERROR(INDEX(Setup!$D$4:$D$28,MATCH($C932,Setup!$C$4:$C$28,0)),"CHECK"))</f>
        <v/>
      </c>
      <c r="G932" s="56">
        <f>IF($A932="","",MONTH($A932))</f>
        <v/>
      </c>
    </row>
    <row r="933">
      <c r="A933" s="48" t="n"/>
      <c r="B933" s="39" t="n"/>
      <c r="C933" s="39" t="n"/>
      <c r="D933" s="49" t="n"/>
      <c r="E933" s="50" t="n"/>
      <c r="F933" s="33">
        <f>IF($C933="","",IFERROR(INDEX(Setup!$D$4:$D$28,MATCH($C933,Setup!$C$4:$C$28,0)),"CHECK"))</f>
        <v/>
      </c>
      <c r="G933" s="51">
        <f>IF($A933="","",MONTH($A933))</f>
        <v/>
      </c>
    </row>
    <row r="934">
      <c r="A934" s="53" t="n"/>
      <c r="B934" s="43" t="n"/>
      <c r="C934" s="43" t="n"/>
      <c r="D934" s="54" t="n"/>
      <c r="E934" s="55" t="n"/>
      <c r="F934" s="34">
        <f>IF($C934="","",IFERROR(INDEX(Setup!$D$4:$D$28,MATCH($C934,Setup!$C$4:$C$28,0)),"CHECK"))</f>
        <v/>
      </c>
      <c r="G934" s="56">
        <f>IF($A934="","",MONTH($A934))</f>
        <v/>
      </c>
    </row>
    <row r="935">
      <c r="A935" s="48" t="n"/>
      <c r="B935" s="39" t="n"/>
      <c r="C935" s="39" t="n"/>
      <c r="D935" s="49" t="n"/>
      <c r="E935" s="50" t="n"/>
      <c r="F935" s="33">
        <f>IF($C935="","",IFERROR(INDEX(Setup!$D$4:$D$28,MATCH($C935,Setup!$C$4:$C$28,0)),"CHECK"))</f>
        <v/>
      </c>
      <c r="G935" s="51">
        <f>IF($A935="","",MONTH($A935))</f>
        <v/>
      </c>
    </row>
    <row r="936">
      <c r="A936" s="53" t="n"/>
      <c r="B936" s="43" t="n"/>
      <c r="C936" s="43" t="n"/>
      <c r="D936" s="54" t="n"/>
      <c r="E936" s="55" t="n"/>
      <c r="F936" s="34">
        <f>IF($C936="","",IFERROR(INDEX(Setup!$D$4:$D$28,MATCH($C936,Setup!$C$4:$C$28,0)),"CHECK"))</f>
        <v/>
      </c>
      <c r="G936" s="56">
        <f>IF($A936="","",MONTH($A936))</f>
        <v/>
      </c>
    </row>
    <row r="937">
      <c r="A937" s="48" t="n"/>
      <c r="B937" s="39" t="n"/>
      <c r="C937" s="39" t="n"/>
      <c r="D937" s="49" t="n"/>
      <c r="E937" s="50" t="n"/>
      <c r="F937" s="33">
        <f>IF($C937="","",IFERROR(INDEX(Setup!$D$4:$D$28,MATCH($C937,Setup!$C$4:$C$28,0)),"CHECK"))</f>
        <v/>
      </c>
      <c r="G937" s="51">
        <f>IF($A937="","",MONTH($A937))</f>
        <v/>
      </c>
    </row>
    <row r="938">
      <c r="A938" s="53" t="n"/>
      <c r="B938" s="43" t="n"/>
      <c r="C938" s="43" t="n"/>
      <c r="D938" s="54" t="n"/>
      <c r="E938" s="55" t="n"/>
      <c r="F938" s="34">
        <f>IF($C938="","",IFERROR(INDEX(Setup!$D$4:$D$28,MATCH($C938,Setup!$C$4:$C$28,0)),"CHECK"))</f>
        <v/>
      </c>
      <c r="G938" s="56">
        <f>IF($A938="","",MONTH($A938))</f>
        <v/>
      </c>
    </row>
    <row r="939">
      <c r="A939" s="48" t="n"/>
      <c r="B939" s="39" t="n"/>
      <c r="C939" s="39" t="n"/>
      <c r="D939" s="49" t="n"/>
      <c r="E939" s="50" t="n"/>
      <c r="F939" s="33">
        <f>IF($C939="","",IFERROR(INDEX(Setup!$D$4:$D$28,MATCH($C939,Setup!$C$4:$C$28,0)),"CHECK"))</f>
        <v/>
      </c>
      <c r="G939" s="51">
        <f>IF($A939="","",MONTH($A939))</f>
        <v/>
      </c>
    </row>
    <row r="940">
      <c r="A940" s="53" t="n"/>
      <c r="B940" s="43" t="n"/>
      <c r="C940" s="43" t="n"/>
      <c r="D940" s="54" t="n"/>
      <c r="E940" s="55" t="n"/>
      <c r="F940" s="34">
        <f>IF($C940="","",IFERROR(INDEX(Setup!$D$4:$D$28,MATCH($C940,Setup!$C$4:$C$28,0)),"CHECK"))</f>
        <v/>
      </c>
      <c r="G940" s="56">
        <f>IF($A940="","",MONTH($A940))</f>
        <v/>
      </c>
    </row>
    <row r="941">
      <c r="A941" s="48" t="n"/>
      <c r="B941" s="39" t="n"/>
      <c r="C941" s="39" t="n"/>
      <c r="D941" s="49" t="n"/>
      <c r="E941" s="50" t="n"/>
      <c r="F941" s="33">
        <f>IF($C941="","",IFERROR(INDEX(Setup!$D$4:$D$28,MATCH($C941,Setup!$C$4:$C$28,0)),"CHECK"))</f>
        <v/>
      </c>
      <c r="G941" s="51">
        <f>IF($A941="","",MONTH($A941))</f>
        <v/>
      </c>
    </row>
    <row r="942">
      <c r="A942" s="53" t="n"/>
      <c r="B942" s="43" t="n"/>
      <c r="C942" s="43" t="n"/>
      <c r="D942" s="54" t="n"/>
      <c r="E942" s="55" t="n"/>
      <c r="F942" s="34">
        <f>IF($C942="","",IFERROR(INDEX(Setup!$D$4:$D$28,MATCH($C942,Setup!$C$4:$C$28,0)),"CHECK"))</f>
        <v/>
      </c>
      <c r="G942" s="56">
        <f>IF($A942="","",MONTH($A942))</f>
        <v/>
      </c>
    </row>
    <row r="943">
      <c r="A943" s="48" t="n"/>
      <c r="B943" s="39" t="n"/>
      <c r="C943" s="39" t="n"/>
      <c r="D943" s="49" t="n"/>
      <c r="E943" s="50" t="n"/>
      <c r="F943" s="33">
        <f>IF($C943="","",IFERROR(INDEX(Setup!$D$4:$D$28,MATCH($C943,Setup!$C$4:$C$28,0)),"CHECK"))</f>
        <v/>
      </c>
      <c r="G943" s="51">
        <f>IF($A943="","",MONTH($A943))</f>
        <v/>
      </c>
    </row>
    <row r="944">
      <c r="A944" s="53" t="n"/>
      <c r="B944" s="43" t="n"/>
      <c r="C944" s="43" t="n"/>
      <c r="D944" s="54" t="n"/>
      <c r="E944" s="55" t="n"/>
      <c r="F944" s="34">
        <f>IF($C944="","",IFERROR(INDEX(Setup!$D$4:$D$28,MATCH($C944,Setup!$C$4:$C$28,0)),"CHECK"))</f>
        <v/>
      </c>
      <c r="G944" s="56">
        <f>IF($A944="","",MONTH($A944))</f>
        <v/>
      </c>
    </row>
    <row r="945">
      <c r="A945" s="48" t="n"/>
      <c r="B945" s="39" t="n"/>
      <c r="C945" s="39" t="n"/>
      <c r="D945" s="49" t="n"/>
      <c r="E945" s="50" t="n"/>
      <c r="F945" s="33">
        <f>IF($C945="","",IFERROR(INDEX(Setup!$D$4:$D$28,MATCH($C945,Setup!$C$4:$C$28,0)),"CHECK"))</f>
        <v/>
      </c>
      <c r="G945" s="51">
        <f>IF($A945="","",MONTH($A945))</f>
        <v/>
      </c>
    </row>
    <row r="946">
      <c r="A946" s="53" t="n"/>
      <c r="B946" s="43" t="n"/>
      <c r="C946" s="43" t="n"/>
      <c r="D946" s="54" t="n"/>
      <c r="E946" s="55" t="n"/>
      <c r="F946" s="34">
        <f>IF($C946="","",IFERROR(INDEX(Setup!$D$4:$D$28,MATCH($C946,Setup!$C$4:$C$28,0)),"CHECK"))</f>
        <v/>
      </c>
      <c r="G946" s="56">
        <f>IF($A946="","",MONTH($A946))</f>
        <v/>
      </c>
    </row>
    <row r="947">
      <c r="A947" s="48" t="n"/>
      <c r="B947" s="39" t="n"/>
      <c r="C947" s="39" t="n"/>
      <c r="D947" s="49" t="n"/>
      <c r="E947" s="50" t="n"/>
      <c r="F947" s="33">
        <f>IF($C947="","",IFERROR(INDEX(Setup!$D$4:$D$28,MATCH($C947,Setup!$C$4:$C$28,0)),"CHECK"))</f>
        <v/>
      </c>
      <c r="G947" s="51">
        <f>IF($A947="","",MONTH($A947))</f>
        <v/>
      </c>
    </row>
    <row r="948">
      <c r="A948" s="53" t="n"/>
      <c r="B948" s="43" t="n"/>
      <c r="C948" s="43" t="n"/>
      <c r="D948" s="54" t="n"/>
      <c r="E948" s="55" t="n"/>
      <c r="F948" s="34">
        <f>IF($C948="","",IFERROR(INDEX(Setup!$D$4:$D$28,MATCH($C948,Setup!$C$4:$C$28,0)),"CHECK"))</f>
        <v/>
      </c>
      <c r="G948" s="56">
        <f>IF($A948="","",MONTH($A948))</f>
        <v/>
      </c>
    </row>
    <row r="949">
      <c r="A949" s="48" t="n"/>
      <c r="B949" s="39" t="n"/>
      <c r="C949" s="39" t="n"/>
      <c r="D949" s="49" t="n"/>
      <c r="E949" s="50" t="n"/>
      <c r="F949" s="33">
        <f>IF($C949="","",IFERROR(INDEX(Setup!$D$4:$D$28,MATCH($C949,Setup!$C$4:$C$28,0)),"CHECK"))</f>
        <v/>
      </c>
      <c r="G949" s="51">
        <f>IF($A949="","",MONTH($A949))</f>
        <v/>
      </c>
    </row>
    <row r="950">
      <c r="A950" s="53" t="n"/>
      <c r="B950" s="43" t="n"/>
      <c r="C950" s="43" t="n"/>
      <c r="D950" s="54" t="n"/>
      <c r="E950" s="55" t="n"/>
      <c r="F950" s="34">
        <f>IF($C950="","",IFERROR(INDEX(Setup!$D$4:$D$28,MATCH($C950,Setup!$C$4:$C$28,0)),"CHECK"))</f>
        <v/>
      </c>
      <c r="G950" s="56">
        <f>IF($A950="","",MONTH($A950))</f>
        <v/>
      </c>
    </row>
    <row r="951">
      <c r="A951" s="48" t="n"/>
      <c r="B951" s="39" t="n"/>
      <c r="C951" s="39" t="n"/>
      <c r="D951" s="49" t="n"/>
      <c r="E951" s="50" t="n"/>
      <c r="F951" s="33">
        <f>IF($C951="","",IFERROR(INDEX(Setup!$D$4:$D$28,MATCH($C951,Setup!$C$4:$C$28,0)),"CHECK"))</f>
        <v/>
      </c>
      <c r="G951" s="51">
        <f>IF($A951="","",MONTH($A951))</f>
        <v/>
      </c>
    </row>
    <row r="952">
      <c r="A952" s="53" t="n"/>
      <c r="B952" s="43" t="n"/>
      <c r="C952" s="43" t="n"/>
      <c r="D952" s="54" t="n"/>
      <c r="E952" s="55" t="n"/>
      <c r="F952" s="34">
        <f>IF($C952="","",IFERROR(INDEX(Setup!$D$4:$D$28,MATCH($C952,Setup!$C$4:$C$28,0)),"CHECK"))</f>
        <v/>
      </c>
      <c r="G952" s="56">
        <f>IF($A952="","",MONTH($A952))</f>
        <v/>
      </c>
    </row>
    <row r="953">
      <c r="A953" s="48" t="n"/>
      <c r="B953" s="39" t="n"/>
      <c r="C953" s="39" t="n"/>
      <c r="D953" s="49" t="n"/>
      <c r="E953" s="50" t="n"/>
      <c r="F953" s="33">
        <f>IF($C953="","",IFERROR(INDEX(Setup!$D$4:$D$28,MATCH($C953,Setup!$C$4:$C$28,0)),"CHECK"))</f>
        <v/>
      </c>
      <c r="G953" s="51">
        <f>IF($A953="","",MONTH($A953))</f>
        <v/>
      </c>
    </row>
    <row r="954">
      <c r="A954" s="53" t="n"/>
      <c r="B954" s="43" t="n"/>
      <c r="C954" s="43" t="n"/>
      <c r="D954" s="54" t="n"/>
      <c r="E954" s="55" t="n"/>
      <c r="F954" s="34">
        <f>IF($C954="","",IFERROR(INDEX(Setup!$D$4:$D$28,MATCH($C954,Setup!$C$4:$C$28,0)),"CHECK"))</f>
        <v/>
      </c>
      <c r="G954" s="56">
        <f>IF($A954="","",MONTH($A954))</f>
        <v/>
      </c>
    </row>
    <row r="955">
      <c r="A955" s="48" t="n"/>
      <c r="B955" s="39" t="n"/>
      <c r="C955" s="39" t="n"/>
      <c r="D955" s="49" t="n"/>
      <c r="E955" s="50" t="n"/>
      <c r="F955" s="33">
        <f>IF($C955="","",IFERROR(INDEX(Setup!$D$4:$D$28,MATCH($C955,Setup!$C$4:$C$28,0)),"CHECK"))</f>
        <v/>
      </c>
      <c r="G955" s="51">
        <f>IF($A955="","",MONTH($A955))</f>
        <v/>
      </c>
    </row>
    <row r="956">
      <c r="A956" s="53" t="n"/>
      <c r="B956" s="43" t="n"/>
      <c r="C956" s="43" t="n"/>
      <c r="D956" s="54" t="n"/>
      <c r="E956" s="55" t="n"/>
      <c r="F956" s="34">
        <f>IF($C956="","",IFERROR(INDEX(Setup!$D$4:$D$28,MATCH($C956,Setup!$C$4:$C$28,0)),"CHECK"))</f>
        <v/>
      </c>
      <c r="G956" s="56">
        <f>IF($A956="","",MONTH($A956))</f>
        <v/>
      </c>
    </row>
    <row r="957">
      <c r="A957" s="48" t="n"/>
      <c r="B957" s="39" t="n"/>
      <c r="C957" s="39" t="n"/>
      <c r="D957" s="49" t="n"/>
      <c r="E957" s="50" t="n"/>
      <c r="F957" s="33">
        <f>IF($C957="","",IFERROR(INDEX(Setup!$D$4:$D$28,MATCH($C957,Setup!$C$4:$C$28,0)),"CHECK"))</f>
        <v/>
      </c>
      <c r="G957" s="51">
        <f>IF($A957="","",MONTH($A957))</f>
        <v/>
      </c>
    </row>
    <row r="958">
      <c r="A958" s="53" t="n"/>
      <c r="B958" s="43" t="n"/>
      <c r="C958" s="43" t="n"/>
      <c r="D958" s="54" t="n"/>
      <c r="E958" s="55" t="n"/>
      <c r="F958" s="34">
        <f>IF($C958="","",IFERROR(INDEX(Setup!$D$4:$D$28,MATCH($C958,Setup!$C$4:$C$28,0)),"CHECK"))</f>
        <v/>
      </c>
      <c r="G958" s="56">
        <f>IF($A958="","",MONTH($A958))</f>
        <v/>
      </c>
    </row>
    <row r="959">
      <c r="A959" s="48" t="n"/>
      <c r="B959" s="39" t="n"/>
      <c r="C959" s="39" t="n"/>
      <c r="D959" s="49" t="n"/>
      <c r="E959" s="50" t="n"/>
      <c r="F959" s="33">
        <f>IF($C959="","",IFERROR(INDEX(Setup!$D$4:$D$28,MATCH($C959,Setup!$C$4:$C$28,0)),"CHECK"))</f>
        <v/>
      </c>
      <c r="G959" s="51">
        <f>IF($A959="","",MONTH($A959))</f>
        <v/>
      </c>
    </row>
    <row r="960">
      <c r="A960" s="53" t="n"/>
      <c r="B960" s="43" t="n"/>
      <c r="C960" s="43" t="n"/>
      <c r="D960" s="54" t="n"/>
      <c r="E960" s="55" t="n"/>
      <c r="F960" s="34">
        <f>IF($C960="","",IFERROR(INDEX(Setup!$D$4:$D$28,MATCH($C960,Setup!$C$4:$C$28,0)),"CHECK"))</f>
        <v/>
      </c>
      <c r="G960" s="56">
        <f>IF($A960="","",MONTH($A960))</f>
        <v/>
      </c>
    </row>
    <row r="961">
      <c r="A961" s="48" t="n"/>
      <c r="B961" s="39" t="n"/>
      <c r="C961" s="39" t="n"/>
      <c r="D961" s="49" t="n"/>
      <c r="E961" s="50" t="n"/>
      <c r="F961" s="33">
        <f>IF($C961="","",IFERROR(INDEX(Setup!$D$4:$D$28,MATCH($C961,Setup!$C$4:$C$28,0)),"CHECK"))</f>
        <v/>
      </c>
      <c r="G961" s="51">
        <f>IF($A961="","",MONTH($A961))</f>
        <v/>
      </c>
    </row>
    <row r="962">
      <c r="A962" s="53" t="n"/>
      <c r="B962" s="43" t="n"/>
      <c r="C962" s="43" t="n"/>
      <c r="D962" s="54" t="n"/>
      <c r="E962" s="55" t="n"/>
      <c r="F962" s="34">
        <f>IF($C962="","",IFERROR(INDEX(Setup!$D$4:$D$28,MATCH($C962,Setup!$C$4:$C$28,0)),"CHECK"))</f>
        <v/>
      </c>
      <c r="G962" s="56">
        <f>IF($A962="","",MONTH($A962))</f>
        <v/>
      </c>
    </row>
    <row r="963">
      <c r="A963" s="48" t="n"/>
      <c r="B963" s="39" t="n"/>
      <c r="C963" s="39" t="n"/>
      <c r="D963" s="49" t="n"/>
      <c r="E963" s="50" t="n"/>
      <c r="F963" s="33">
        <f>IF($C963="","",IFERROR(INDEX(Setup!$D$4:$D$28,MATCH($C963,Setup!$C$4:$C$28,0)),"CHECK"))</f>
        <v/>
      </c>
      <c r="G963" s="51">
        <f>IF($A963="","",MONTH($A963))</f>
        <v/>
      </c>
    </row>
    <row r="964">
      <c r="A964" s="53" t="n"/>
      <c r="B964" s="43" t="n"/>
      <c r="C964" s="43" t="n"/>
      <c r="D964" s="54" t="n"/>
      <c r="E964" s="55" t="n"/>
      <c r="F964" s="34">
        <f>IF($C964="","",IFERROR(INDEX(Setup!$D$4:$D$28,MATCH($C964,Setup!$C$4:$C$28,0)),"CHECK"))</f>
        <v/>
      </c>
      <c r="G964" s="56">
        <f>IF($A964="","",MONTH($A964))</f>
        <v/>
      </c>
    </row>
    <row r="965">
      <c r="A965" s="48" t="n"/>
      <c r="B965" s="39" t="n"/>
      <c r="C965" s="39" t="n"/>
      <c r="D965" s="49" t="n"/>
      <c r="E965" s="50" t="n"/>
      <c r="F965" s="33">
        <f>IF($C965="","",IFERROR(INDEX(Setup!$D$4:$D$28,MATCH($C965,Setup!$C$4:$C$28,0)),"CHECK"))</f>
        <v/>
      </c>
      <c r="G965" s="51">
        <f>IF($A965="","",MONTH($A965))</f>
        <v/>
      </c>
    </row>
    <row r="966">
      <c r="A966" s="53" t="n"/>
      <c r="B966" s="43" t="n"/>
      <c r="C966" s="43" t="n"/>
      <c r="D966" s="54" t="n"/>
      <c r="E966" s="55" t="n"/>
      <c r="F966" s="34">
        <f>IF($C966="","",IFERROR(INDEX(Setup!$D$4:$D$28,MATCH($C966,Setup!$C$4:$C$28,0)),"CHECK"))</f>
        <v/>
      </c>
      <c r="G966" s="56">
        <f>IF($A966="","",MONTH($A966))</f>
        <v/>
      </c>
    </row>
    <row r="967">
      <c r="A967" s="48" t="n"/>
      <c r="B967" s="39" t="n"/>
      <c r="C967" s="39" t="n"/>
      <c r="D967" s="49" t="n"/>
      <c r="E967" s="50" t="n"/>
      <c r="F967" s="33">
        <f>IF($C967="","",IFERROR(INDEX(Setup!$D$4:$D$28,MATCH($C967,Setup!$C$4:$C$28,0)),"CHECK"))</f>
        <v/>
      </c>
      <c r="G967" s="51">
        <f>IF($A967="","",MONTH($A967))</f>
        <v/>
      </c>
    </row>
    <row r="968">
      <c r="A968" s="53" t="n"/>
      <c r="B968" s="43" t="n"/>
      <c r="C968" s="43" t="n"/>
      <c r="D968" s="54" t="n"/>
      <c r="E968" s="55" t="n"/>
      <c r="F968" s="34">
        <f>IF($C968="","",IFERROR(INDEX(Setup!$D$4:$D$28,MATCH($C968,Setup!$C$4:$C$28,0)),"CHECK"))</f>
        <v/>
      </c>
      <c r="G968" s="56">
        <f>IF($A968="","",MONTH($A968))</f>
        <v/>
      </c>
    </row>
    <row r="969">
      <c r="A969" s="48" t="n"/>
      <c r="B969" s="39" t="n"/>
      <c r="C969" s="39" t="n"/>
      <c r="D969" s="49" t="n"/>
      <c r="E969" s="50" t="n"/>
      <c r="F969" s="33">
        <f>IF($C969="","",IFERROR(INDEX(Setup!$D$4:$D$28,MATCH($C969,Setup!$C$4:$C$28,0)),"CHECK"))</f>
        <v/>
      </c>
      <c r="G969" s="51">
        <f>IF($A969="","",MONTH($A969))</f>
        <v/>
      </c>
    </row>
    <row r="970">
      <c r="A970" s="53" t="n"/>
      <c r="B970" s="43" t="n"/>
      <c r="C970" s="43" t="n"/>
      <c r="D970" s="54" t="n"/>
      <c r="E970" s="55" t="n"/>
      <c r="F970" s="34">
        <f>IF($C970="","",IFERROR(INDEX(Setup!$D$4:$D$28,MATCH($C970,Setup!$C$4:$C$28,0)),"CHECK"))</f>
        <v/>
      </c>
      <c r="G970" s="56">
        <f>IF($A970="","",MONTH($A970))</f>
        <v/>
      </c>
    </row>
    <row r="971">
      <c r="A971" s="48" t="n"/>
      <c r="B971" s="39" t="n"/>
      <c r="C971" s="39" t="n"/>
      <c r="D971" s="49" t="n"/>
      <c r="E971" s="50" t="n"/>
      <c r="F971" s="33">
        <f>IF($C971="","",IFERROR(INDEX(Setup!$D$4:$D$28,MATCH($C971,Setup!$C$4:$C$28,0)),"CHECK"))</f>
        <v/>
      </c>
      <c r="G971" s="51">
        <f>IF($A971="","",MONTH($A971))</f>
        <v/>
      </c>
    </row>
    <row r="972">
      <c r="A972" s="53" t="n"/>
      <c r="B972" s="43" t="n"/>
      <c r="C972" s="43" t="n"/>
      <c r="D972" s="54" t="n"/>
      <c r="E972" s="55" t="n"/>
      <c r="F972" s="34">
        <f>IF($C972="","",IFERROR(INDEX(Setup!$D$4:$D$28,MATCH($C972,Setup!$C$4:$C$28,0)),"CHECK"))</f>
        <v/>
      </c>
      <c r="G972" s="56">
        <f>IF($A972="","",MONTH($A972))</f>
        <v/>
      </c>
    </row>
    <row r="973">
      <c r="A973" s="48" t="n"/>
      <c r="B973" s="39" t="n"/>
      <c r="C973" s="39" t="n"/>
      <c r="D973" s="49" t="n"/>
      <c r="E973" s="50" t="n"/>
      <c r="F973" s="33">
        <f>IF($C973="","",IFERROR(INDEX(Setup!$D$4:$D$28,MATCH($C973,Setup!$C$4:$C$28,0)),"CHECK"))</f>
        <v/>
      </c>
      <c r="G973" s="51">
        <f>IF($A973="","",MONTH($A973))</f>
        <v/>
      </c>
    </row>
    <row r="974">
      <c r="A974" s="53" t="n"/>
      <c r="B974" s="43" t="n"/>
      <c r="C974" s="43" t="n"/>
      <c r="D974" s="54" t="n"/>
      <c r="E974" s="55" t="n"/>
      <c r="F974" s="34">
        <f>IF($C974="","",IFERROR(INDEX(Setup!$D$4:$D$28,MATCH($C974,Setup!$C$4:$C$28,0)),"CHECK"))</f>
        <v/>
      </c>
      <c r="G974" s="56">
        <f>IF($A974="","",MONTH($A974))</f>
        <v/>
      </c>
    </row>
    <row r="975">
      <c r="A975" s="48" t="n"/>
      <c r="B975" s="39" t="n"/>
      <c r="C975" s="39" t="n"/>
      <c r="D975" s="49" t="n"/>
      <c r="E975" s="50" t="n"/>
      <c r="F975" s="33">
        <f>IF($C975="","",IFERROR(INDEX(Setup!$D$4:$D$28,MATCH($C975,Setup!$C$4:$C$28,0)),"CHECK"))</f>
        <v/>
      </c>
      <c r="G975" s="51">
        <f>IF($A975="","",MONTH($A975))</f>
        <v/>
      </c>
    </row>
    <row r="976">
      <c r="A976" s="53" t="n"/>
      <c r="B976" s="43" t="n"/>
      <c r="C976" s="43" t="n"/>
      <c r="D976" s="54" t="n"/>
      <c r="E976" s="55" t="n"/>
      <c r="F976" s="34">
        <f>IF($C976="","",IFERROR(INDEX(Setup!$D$4:$D$28,MATCH($C976,Setup!$C$4:$C$28,0)),"CHECK"))</f>
        <v/>
      </c>
      <c r="G976" s="56">
        <f>IF($A976="","",MONTH($A976))</f>
        <v/>
      </c>
    </row>
    <row r="977">
      <c r="A977" s="48" t="n"/>
      <c r="B977" s="39" t="n"/>
      <c r="C977" s="39" t="n"/>
      <c r="D977" s="49" t="n"/>
      <c r="E977" s="50" t="n"/>
      <c r="F977" s="33">
        <f>IF($C977="","",IFERROR(INDEX(Setup!$D$4:$D$28,MATCH($C977,Setup!$C$4:$C$28,0)),"CHECK"))</f>
        <v/>
      </c>
      <c r="G977" s="51">
        <f>IF($A977="","",MONTH($A977))</f>
        <v/>
      </c>
    </row>
    <row r="978">
      <c r="A978" s="53" t="n"/>
      <c r="B978" s="43" t="n"/>
      <c r="C978" s="43" t="n"/>
      <c r="D978" s="54" t="n"/>
      <c r="E978" s="55" t="n"/>
      <c r="F978" s="34">
        <f>IF($C978="","",IFERROR(INDEX(Setup!$D$4:$D$28,MATCH($C978,Setup!$C$4:$C$28,0)),"CHECK"))</f>
        <v/>
      </c>
      <c r="G978" s="56">
        <f>IF($A978="","",MONTH($A978))</f>
        <v/>
      </c>
    </row>
    <row r="979">
      <c r="A979" s="48" t="n"/>
      <c r="B979" s="39" t="n"/>
      <c r="C979" s="39" t="n"/>
      <c r="D979" s="49" t="n"/>
      <c r="E979" s="50" t="n"/>
      <c r="F979" s="33">
        <f>IF($C979="","",IFERROR(INDEX(Setup!$D$4:$D$28,MATCH($C979,Setup!$C$4:$C$28,0)),"CHECK"))</f>
        <v/>
      </c>
      <c r="G979" s="51">
        <f>IF($A979="","",MONTH($A979))</f>
        <v/>
      </c>
    </row>
    <row r="980">
      <c r="A980" s="53" t="n"/>
      <c r="B980" s="43" t="n"/>
      <c r="C980" s="43" t="n"/>
      <c r="D980" s="54" t="n"/>
      <c r="E980" s="55" t="n"/>
      <c r="F980" s="34">
        <f>IF($C980="","",IFERROR(INDEX(Setup!$D$4:$D$28,MATCH($C980,Setup!$C$4:$C$28,0)),"CHECK"))</f>
        <v/>
      </c>
      <c r="G980" s="56">
        <f>IF($A980="","",MONTH($A980))</f>
        <v/>
      </c>
    </row>
    <row r="981">
      <c r="A981" s="48" t="n"/>
      <c r="B981" s="39" t="n"/>
      <c r="C981" s="39" t="n"/>
      <c r="D981" s="49" t="n"/>
      <c r="E981" s="50" t="n"/>
      <c r="F981" s="33">
        <f>IF($C981="","",IFERROR(INDEX(Setup!$D$4:$D$28,MATCH($C981,Setup!$C$4:$C$28,0)),"CHECK"))</f>
        <v/>
      </c>
      <c r="G981" s="51">
        <f>IF($A981="","",MONTH($A981))</f>
        <v/>
      </c>
    </row>
    <row r="982">
      <c r="A982" s="53" t="n"/>
      <c r="B982" s="43" t="n"/>
      <c r="C982" s="43" t="n"/>
      <c r="D982" s="54" t="n"/>
      <c r="E982" s="55" t="n"/>
      <c r="F982" s="34">
        <f>IF($C982="","",IFERROR(INDEX(Setup!$D$4:$D$28,MATCH($C982,Setup!$C$4:$C$28,0)),"CHECK"))</f>
        <v/>
      </c>
      <c r="G982" s="56">
        <f>IF($A982="","",MONTH($A982))</f>
        <v/>
      </c>
    </row>
    <row r="983">
      <c r="A983" s="48" t="n"/>
      <c r="B983" s="39" t="n"/>
      <c r="C983" s="39" t="n"/>
      <c r="D983" s="49" t="n"/>
      <c r="E983" s="50" t="n"/>
      <c r="F983" s="33">
        <f>IF($C983="","",IFERROR(INDEX(Setup!$D$4:$D$28,MATCH($C983,Setup!$C$4:$C$28,0)),"CHECK"))</f>
        <v/>
      </c>
      <c r="G983" s="51">
        <f>IF($A983="","",MONTH($A983))</f>
        <v/>
      </c>
    </row>
    <row r="984">
      <c r="A984" s="53" t="n"/>
      <c r="B984" s="43" t="n"/>
      <c r="C984" s="43" t="n"/>
      <c r="D984" s="54" t="n"/>
      <c r="E984" s="55" t="n"/>
      <c r="F984" s="34">
        <f>IF($C984="","",IFERROR(INDEX(Setup!$D$4:$D$28,MATCH($C984,Setup!$C$4:$C$28,0)),"CHECK"))</f>
        <v/>
      </c>
      <c r="G984" s="56">
        <f>IF($A984="","",MONTH($A984))</f>
        <v/>
      </c>
    </row>
    <row r="985">
      <c r="A985" s="48" t="n"/>
      <c r="B985" s="39" t="n"/>
      <c r="C985" s="39" t="n"/>
      <c r="D985" s="49" t="n"/>
      <c r="E985" s="50" t="n"/>
      <c r="F985" s="33">
        <f>IF($C985="","",IFERROR(INDEX(Setup!$D$4:$D$28,MATCH($C985,Setup!$C$4:$C$28,0)),"CHECK"))</f>
        <v/>
      </c>
      <c r="G985" s="51">
        <f>IF($A985="","",MONTH($A985))</f>
        <v/>
      </c>
    </row>
    <row r="986">
      <c r="A986" s="53" t="n"/>
      <c r="B986" s="43" t="n"/>
      <c r="C986" s="43" t="n"/>
      <c r="D986" s="54" t="n"/>
      <c r="E986" s="55" t="n"/>
      <c r="F986" s="34">
        <f>IF($C986="","",IFERROR(INDEX(Setup!$D$4:$D$28,MATCH($C986,Setup!$C$4:$C$28,0)),"CHECK"))</f>
        <v/>
      </c>
      <c r="G986" s="56">
        <f>IF($A986="","",MONTH($A986))</f>
        <v/>
      </c>
    </row>
    <row r="987">
      <c r="A987" s="48" t="n"/>
      <c r="B987" s="39" t="n"/>
      <c r="C987" s="39" t="n"/>
      <c r="D987" s="49" t="n"/>
      <c r="E987" s="50" t="n"/>
      <c r="F987" s="33">
        <f>IF($C987="","",IFERROR(INDEX(Setup!$D$4:$D$28,MATCH($C987,Setup!$C$4:$C$28,0)),"CHECK"))</f>
        <v/>
      </c>
      <c r="G987" s="51">
        <f>IF($A987="","",MONTH($A987))</f>
        <v/>
      </c>
    </row>
    <row r="988">
      <c r="A988" s="53" t="n"/>
      <c r="B988" s="43" t="n"/>
      <c r="C988" s="43" t="n"/>
      <c r="D988" s="54" t="n"/>
      <c r="E988" s="55" t="n"/>
      <c r="F988" s="34">
        <f>IF($C988="","",IFERROR(INDEX(Setup!$D$4:$D$28,MATCH($C988,Setup!$C$4:$C$28,0)),"CHECK"))</f>
        <v/>
      </c>
      <c r="G988" s="56">
        <f>IF($A988="","",MONTH($A988))</f>
        <v/>
      </c>
    </row>
    <row r="989">
      <c r="A989" s="48" t="n"/>
      <c r="B989" s="39" t="n"/>
      <c r="C989" s="39" t="n"/>
      <c r="D989" s="49" t="n"/>
      <c r="E989" s="50" t="n"/>
      <c r="F989" s="33">
        <f>IF($C989="","",IFERROR(INDEX(Setup!$D$4:$D$28,MATCH($C989,Setup!$C$4:$C$28,0)),"CHECK"))</f>
        <v/>
      </c>
      <c r="G989" s="51">
        <f>IF($A989="","",MONTH($A989))</f>
        <v/>
      </c>
    </row>
    <row r="990">
      <c r="A990" s="53" t="n"/>
      <c r="B990" s="43" t="n"/>
      <c r="C990" s="43" t="n"/>
      <c r="D990" s="54" t="n"/>
      <c r="E990" s="55" t="n"/>
      <c r="F990" s="34">
        <f>IF($C990="","",IFERROR(INDEX(Setup!$D$4:$D$28,MATCH($C990,Setup!$C$4:$C$28,0)),"CHECK"))</f>
        <v/>
      </c>
      <c r="G990" s="56">
        <f>IF($A990="","",MONTH($A990))</f>
        <v/>
      </c>
    </row>
    <row r="991">
      <c r="A991" s="48" t="n"/>
      <c r="B991" s="39" t="n"/>
      <c r="C991" s="39" t="n"/>
      <c r="D991" s="49" t="n"/>
      <c r="E991" s="50" t="n"/>
      <c r="F991" s="33">
        <f>IF($C991="","",IFERROR(INDEX(Setup!$D$4:$D$28,MATCH($C991,Setup!$C$4:$C$28,0)),"CHECK"))</f>
        <v/>
      </c>
      <c r="G991" s="51">
        <f>IF($A991="","",MONTH($A991))</f>
        <v/>
      </c>
    </row>
    <row r="992">
      <c r="A992" s="53" t="n"/>
      <c r="B992" s="43" t="n"/>
      <c r="C992" s="43" t="n"/>
      <c r="D992" s="54" t="n"/>
      <c r="E992" s="55" t="n"/>
      <c r="F992" s="34">
        <f>IF($C992="","",IFERROR(INDEX(Setup!$D$4:$D$28,MATCH($C992,Setup!$C$4:$C$28,0)),"CHECK"))</f>
        <v/>
      </c>
      <c r="G992" s="56">
        <f>IF($A992="","",MONTH($A992))</f>
        <v/>
      </c>
    </row>
    <row r="993">
      <c r="A993" s="48" t="n"/>
      <c r="B993" s="39" t="n"/>
      <c r="C993" s="39" t="n"/>
      <c r="D993" s="49" t="n"/>
      <c r="E993" s="50" t="n"/>
      <c r="F993" s="33">
        <f>IF($C993="","",IFERROR(INDEX(Setup!$D$4:$D$28,MATCH($C993,Setup!$C$4:$C$28,0)),"CHECK"))</f>
        <v/>
      </c>
      <c r="G993" s="51">
        <f>IF($A993="","",MONTH($A993))</f>
        <v/>
      </c>
    </row>
    <row r="994">
      <c r="A994" s="53" t="n"/>
      <c r="B994" s="43" t="n"/>
      <c r="C994" s="43" t="n"/>
      <c r="D994" s="54" t="n"/>
      <c r="E994" s="55" t="n"/>
      <c r="F994" s="34">
        <f>IF($C994="","",IFERROR(INDEX(Setup!$D$4:$D$28,MATCH($C994,Setup!$C$4:$C$28,0)),"CHECK"))</f>
        <v/>
      </c>
      <c r="G994" s="56">
        <f>IF($A994="","",MONTH($A994))</f>
        <v/>
      </c>
    </row>
    <row r="995">
      <c r="A995" s="48" t="n"/>
      <c r="B995" s="39" t="n"/>
      <c r="C995" s="39" t="n"/>
      <c r="D995" s="49" t="n"/>
      <c r="E995" s="50" t="n"/>
      <c r="F995" s="33">
        <f>IF($C995="","",IFERROR(INDEX(Setup!$D$4:$D$28,MATCH($C995,Setup!$C$4:$C$28,0)),"CHECK"))</f>
        <v/>
      </c>
      <c r="G995" s="51">
        <f>IF($A995="","",MONTH($A995))</f>
        <v/>
      </c>
    </row>
    <row r="996">
      <c r="A996" s="53" t="n"/>
      <c r="B996" s="43" t="n"/>
      <c r="C996" s="43" t="n"/>
      <c r="D996" s="54" t="n"/>
      <c r="E996" s="55" t="n"/>
      <c r="F996" s="34">
        <f>IF($C996="","",IFERROR(INDEX(Setup!$D$4:$D$28,MATCH($C996,Setup!$C$4:$C$28,0)),"CHECK"))</f>
        <v/>
      </c>
      <c r="G996" s="56">
        <f>IF($A996="","",MONTH($A996))</f>
        <v/>
      </c>
    </row>
    <row r="997">
      <c r="A997" s="48" t="n"/>
      <c r="B997" s="39" t="n"/>
      <c r="C997" s="39" t="n"/>
      <c r="D997" s="49" t="n"/>
      <c r="E997" s="50" t="n"/>
      <c r="F997" s="33">
        <f>IF($C997="","",IFERROR(INDEX(Setup!$D$4:$D$28,MATCH($C997,Setup!$C$4:$C$28,0)),"CHECK"))</f>
        <v/>
      </c>
      <c r="G997" s="51">
        <f>IF($A997="","",MONTH($A997))</f>
        <v/>
      </c>
    </row>
    <row r="998">
      <c r="A998" s="53" t="n"/>
      <c r="B998" s="43" t="n"/>
      <c r="C998" s="43" t="n"/>
      <c r="D998" s="54" t="n"/>
      <c r="E998" s="55" t="n"/>
      <c r="F998" s="34">
        <f>IF($C998="","",IFERROR(INDEX(Setup!$D$4:$D$28,MATCH($C998,Setup!$C$4:$C$28,0)),"CHECK"))</f>
        <v/>
      </c>
      <c r="G998" s="56">
        <f>IF($A998="","",MONTH($A998))</f>
        <v/>
      </c>
    </row>
    <row r="999">
      <c r="A999" s="48" t="n"/>
      <c r="B999" s="39" t="n"/>
      <c r="C999" s="39" t="n"/>
      <c r="D999" s="49" t="n"/>
      <c r="E999" s="50" t="n"/>
      <c r="F999" s="33">
        <f>IF($C999="","",IFERROR(INDEX(Setup!$D$4:$D$28,MATCH($C999,Setup!$C$4:$C$28,0)),"CHECK"))</f>
        <v/>
      </c>
      <c r="G999" s="51">
        <f>IF($A999="","",MONTH($A999))</f>
        <v/>
      </c>
    </row>
    <row r="1000">
      <c r="A1000" s="53" t="n"/>
      <c r="B1000" s="43" t="n"/>
      <c r="C1000" s="43" t="n"/>
      <c r="D1000" s="54" t="n"/>
      <c r="E1000" s="55" t="n"/>
      <c r="F1000" s="34">
        <f>IF($C1000="","",IFERROR(INDEX(Setup!$D$4:$D$28,MATCH($C1000,Setup!$C$4:$C$28,0)),"CHECK"))</f>
        <v/>
      </c>
      <c r="G1000" s="56">
        <f>IF($A1000="","",MONTH($A1000))</f>
        <v/>
      </c>
    </row>
    <row r="1001">
      <c r="A1001" s="48" t="n"/>
      <c r="B1001" s="39" t="n"/>
      <c r="C1001" s="39" t="n"/>
      <c r="D1001" s="49" t="n"/>
      <c r="E1001" s="50" t="n"/>
      <c r="F1001" s="33">
        <f>IF($C1001="","",IFERROR(INDEX(Setup!$D$4:$D$28,MATCH($C1001,Setup!$C$4:$C$28,0)),"CHECK"))</f>
        <v/>
      </c>
      <c r="G1001" s="51">
        <f>IF($A1001="","",MONTH($A1001))</f>
        <v/>
      </c>
    </row>
    <row r="1002">
      <c r="A1002" s="53" t="n"/>
      <c r="B1002" s="43" t="n"/>
      <c r="C1002" s="43" t="n"/>
      <c r="D1002" s="54" t="n"/>
      <c r="E1002" s="55" t="n"/>
      <c r="F1002" s="34">
        <f>IF($C1002="","",IFERROR(INDEX(Setup!$D$4:$D$28,MATCH($C1002,Setup!$C$4:$C$28,0)),"CHECK"))</f>
        <v/>
      </c>
      <c r="G1002" s="56">
        <f>IF($A1002="","",MONTH($A1002))</f>
        <v/>
      </c>
    </row>
    <row r="1003">
      <c r="A1003" s="48" t="n"/>
      <c r="B1003" s="39" t="n"/>
      <c r="C1003" s="39" t="n"/>
      <c r="D1003" s="49" t="n"/>
      <c r="E1003" s="50" t="n"/>
      <c r="F1003" s="33">
        <f>IF($C1003="","",IFERROR(INDEX(Setup!$D$4:$D$28,MATCH($C1003,Setup!$C$4:$C$28,0)),"CHECK"))</f>
        <v/>
      </c>
      <c r="G1003" s="51">
        <f>IF($A1003="","",MONTH($A1003))</f>
        <v/>
      </c>
    </row>
    <row r="1004">
      <c r="A1004" s="53" t="n"/>
      <c r="B1004" s="43" t="n"/>
      <c r="C1004" s="43" t="n"/>
      <c r="D1004" s="54" t="n"/>
      <c r="E1004" s="55" t="n"/>
      <c r="F1004" s="34">
        <f>IF($C1004="","",IFERROR(INDEX(Setup!$D$4:$D$28,MATCH($C1004,Setup!$C$4:$C$28,0)),"CHECK"))</f>
        <v/>
      </c>
      <c r="G1004" s="56">
        <f>IF($A1004="","",MONTH($A1004))</f>
        <v/>
      </c>
    </row>
  </sheetData>
  <autoFilter ref="A4:G1004"/>
  <conditionalFormatting sqref="F5:F1004">
    <cfRule type="cellIs" priority="1" operator="equal" dxfId="3">
      <formula>"No"</formula>
    </cfRule>
    <cfRule type="cellIs" priority="2" operator="equal" dxfId="2">
      <formula>"Yes"</formula>
    </cfRule>
  </conditionalFormatting>
  <dataValidations count="2">
    <dataValidation sqref="B5:B1004" showDropDown="0" showInputMessage="0" showErrorMessage="0" allowBlank="1" type="list">
      <formula1>=Setup!$A$4:$A$33</formula1>
    </dataValidation>
    <dataValidation sqref="C5:C1004" showDropDown="0" showInputMessage="0" showErrorMessage="0" allowBlank="1" type="list">
      <formula1>=Setup!$C$4:$C$28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2026-08-24T13:24:23Z</dcterms:created>
  <dcterms:modified xsi:type="dcterms:W3CDTF">2026-08-24T13:24:23Z</dcterms:modified>
</cp:coreProperties>
</file>